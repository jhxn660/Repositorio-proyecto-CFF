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DMI\Downloads\"/>
    </mc:Choice>
  </mc:AlternateContent>
  <xr:revisionPtr revIDLastSave="0" documentId="13_ncr:1_{319C93EE-1354-4A16-8110-5C7AA6FB51A2}" xr6:coauthVersionLast="36" xr6:coauthVersionMax="47" xr10:uidLastSave="{00000000-0000-0000-0000-000000000000}"/>
  <bookViews>
    <workbookView xWindow="-120" yWindow="-120" windowWidth="20730" windowHeight="11160" tabRatio="834" firstSheet="13" activeTab="22" xr2:uid="{00000000-000D-0000-FFFF-FFFF00000000}"/>
  </bookViews>
  <sheets>
    <sheet name="Portada" sheetId="1" r:id="rId1"/>
    <sheet name="Torre admin" sheetId="24" r:id="rId2"/>
    <sheet name="Monitor Admin" sheetId="25" r:id="rId3"/>
    <sheet name="DiscoSolido Admin" sheetId="26" r:id="rId4"/>
    <sheet name="Disco duro interno Admin" sheetId="27" r:id="rId5"/>
    <sheet name="Servidor Admin" sheetId="29" r:id="rId6"/>
    <sheet name="RAM Admin" sheetId="28" r:id="rId7"/>
    <sheet name="Portatil Nosotros" sheetId="32" r:id="rId8"/>
    <sheet name="Teclado Admin" sheetId="30" r:id="rId9"/>
    <sheet name="Mouse Admin" sheetId="31" r:id="rId10"/>
    <sheet name="Monitor Nosotros" sheetId="33" r:id="rId11"/>
    <sheet name=" Disco mecanico Nosotros" sheetId="34" r:id="rId12"/>
    <sheet name=" Servidor Nosotros" sheetId="35" r:id="rId13"/>
    <sheet name=" ram nosotros" sheetId="36" r:id="rId14"/>
    <sheet name="Tarjeta de video nosotros" sheetId="37" r:id="rId15"/>
    <sheet name="Procesador Nosotros" sheetId="38" r:id="rId16"/>
    <sheet name="Teclado nosostros " sheetId="39" r:id="rId17"/>
    <sheet name="Mouse Nosotros" sheetId="19" r:id="rId18"/>
    <sheet name="Software Licencia" sheetId="20" r:id="rId19"/>
    <sheet name="Licencia Visual" sheetId="21" r:id="rId20"/>
    <sheet name="Windows 11 Licencia" sheetId="22" r:id="rId21"/>
    <sheet name="Licencia SQL" sheetId="23" r:id="rId22"/>
    <sheet name="Consolidado" sheetId="15" r:id="rId23"/>
  </sheets>
  <calcPr calcId="191029"/>
  <extLst>
    <ext uri="GoogleSheetsCustomDataVersion2">
      <go:sheetsCustomData xmlns:go="http://customooxmlschemas.google.com/" r:id="rId27" roundtripDataChecksum="jcoi19Av8VdHYA2ImfuEi0jYp9YDKkQRypm8RXKXDYg="/>
    </ext>
  </extLst>
</workbook>
</file>

<file path=xl/calcChain.xml><?xml version="1.0" encoding="utf-8"?>
<calcChain xmlns="http://schemas.openxmlformats.org/spreadsheetml/2006/main">
  <c r="J28" i="15" l="1"/>
  <c r="I8" i="30"/>
  <c r="I9" i="30"/>
  <c r="I10" i="30"/>
</calcChain>
</file>

<file path=xl/sharedStrings.xml><?xml version="1.0" encoding="utf-8"?>
<sst xmlns="http://schemas.openxmlformats.org/spreadsheetml/2006/main" count="1181" uniqueCount="531">
  <si>
    <t>ADSO</t>
  </si>
  <si>
    <t xml:space="preserve">Cuadro Comparativo de Cotizaciones </t>
  </si>
  <si>
    <t xml:space="preserve">Presupuestos (a)
</t>
  </si>
  <si>
    <t>Nº 1</t>
  </si>
  <si>
    <t xml:space="preserve">Nº2 </t>
  </si>
  <si>
    <t>Nº 3</t>
  </si>
  <si>
    <t>Elaboración Propuesta Fichas Tecnicas</t>
  </si>
  <si>
    <r>
      <t xml:space="preserve">(a) Se deben presentar tres (3) presupuestos cuando:   
   </t>
    </r>
    <r>
      <rPr>
        <sz val="12"/>
        <color theme="1"/>
        <rFont val="Times New Roman"/>
        <family val="1"/>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b/>
        <sz val="12"/>
        <color theme="1"/>
        <rFont val="Times New Roman"/>
        <family val="1"/>
      </rPr>
      <t>En caso de no contar con tres (3) presupuestos, o no poder seleccionar al proveedor que ofrece menor precio, presentar este cuadro una nota de justificación siguiendo las pautas del ítem    (XX)</t>
    </r>
    <r>
      <rPr>
        <sz val="12"/>
        <color theme="1"/>
        <rFont val="Times New Roman"/>
        <family val="1"/>
      </rPr>
      <t xml:space="preserve">
</t>
    </r>
  </si>
  <si>
    <r>
      <t>(b) Ejemplos:</t>
    </r>
    <r>
      <rPr>
        <sz val="12"/>
        <color theme="1"/>
        <rFont val="Times New Roman"/>
        <family val="1"/>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</si>
  <si>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Roles del Restaurante Corralejo Fast Food: Administrador, Cliente</t>
  </si>
  <si>
    <t xml:space="preserve">Control de inventario para </t>
  </si>
  <si>
    <t xml:space="preserve">Integrantes: Amaya Sebastian, Camargo Alberto, Chaves Mateo, Delgado Julian, Rincon Reyez </t>
  </si>
  <si>
    <t>Empresa</t>
  </si>
  <si>
    <t>Nº de CUIT / NIT</t>
  </si>
  <si>
    <t>Dirección</t>
  </si>
  <si>
    <t>Descripción del bien / servicio</t>
  </si>
  <si>
    <t>Importe Unitario (COP)</t>
  </si>
  <si>
    <t>Importe Total (USD)</t>
  </si>
  <si>
    <t>Tipo de Cambio</t>
  </si>
  <si>
    <t>Forma de Pago</t>
  </si>
  <si>
    <t>Contado</t>
  </si>
  <si>
    <t>Importe Total (IVA Incluido)</t>
  </si>
  <si>
    <t>Observaciones</t>
  </si>
  <si>
    <t>Link</t>
  </si>
  <si>
    <t>DataSoft Colombia S.A.S</t>
  </si>
  <si>
    <t>901456782-1</t>
  </si>
  <si>
    <t>Calle 72 #10-34, Bogotá</t>
  </si>
  <si>
    <t>Licencia Microsoft SQL Server 2019 Standard – 1 servidor – licencia perpetua – descarga digital – ideal para aplicaciones web pequeñas</t>
  </si>
  <si>
    <t>4.080 COP/USD</t>
  </si>
  <si>
    <t>Transferencia bancaria</t>
  </si>
  <si>
    <t>Incluye activación digital, soporte básico 3 meses</t>
  </si>
  <si>
    <t>https://latinkeys.com/colombia/producto/sql-server-2019-standard-licencia-para-1-servidor/</t>
  </si>
  <si>
    <t>Sistemas Cloud Andino S.A.S</t>
  </si>
  <si>
    <t>900983211-7</t>
  </si>
  <si>
    <t>Carrera 15 #93-60, Bogotá</t>
  </si>
  <si>
    <t>Licencia Microsoft SQL Server Standard – acceso para servidor pequeño – implementación on-premise – soporte remoto</t>
  </si>
  <si>
    <t>$1.059.100</t>
  </si>
  <si>
    <t>4.070 COP/USD</t>
  </si>
  <si>
    <t>Incluye asistencia de instalación y documentación</t>
  </si>
  <si>
    <t>https://revolutionsoft.com.co/cals/microsoft-sql-server-2019-standard-user-cal.html</t>
  </si>
  <si>
    <t>Soluciones TI Empresariales S.A.S</t>
  </si>
  <si>
    <t>901223998-4</t>
  </si>
  <si>
    <t>Calle 26 #69-63, Bogotá</t>
  </si>
  <si>
    <t>Licencia SQL Server Standard – paquete para 2 cores – licencia anual para base de datos empresarial</t>
  </si>
  <si>
    <t>$8.259.927</t>
  </si>
  <si>
    <t>$9.829.313</t>
  </si>
  <si>
    <t>Licencia corporativa con funciones completas de seguridad y rendimiento</t>
  </si>
  <si>
    <t>https://lasus.com.co/es/paquete-de-licencia-de-sql-server-standard-2-core-1-ano</t>
  </si>
  <si>
    <r>
      <t xml:space="preserve">CUADRO DE COTIZACIONES </t>
    </r>
    <r>
      <rPr>
        <b/>
        <u/>
        <sz val="12"/>
        <color theme="1"/>
        <rFont val="Times New Roman"/>
        <family val="1"/>
      </rPr>
      <t>LICENCIA SQL</t>
    </r>
  </si>
  <si>
    <t>Transferencia / cheque</t>
  </si>
  <si>
    <r>
      <t xml:space="preserve">CUADRO DE COTIZACIONES </t>
    </r>
    <r>
      <rPr>
        <b/>
        <u/>
        <sz val="12"/>
        <color theme="1"/>
        <rFont val="Times New Roman"/>
        <family val="1"/>
      </rPr>
      <t>WINDOWS 11 LICENCIA</t>
    </r>
  </si>
  <si>
    <t>LicenciasCol S.A.S</t>
  </si>
  <si>
    <t>901552340-8</t>
  </si>
  <si>
    <t>Calle 45 #18-12, Bogotá</t>
  </si>
  <si>
    <t>Licencia Microsoft Windows 11 Pro OEM – activación digital permanente – válida para 1 PC – ideal para equipos de administración de sistemas y software empresarial</t>
  </si>
  <si>
    <t>4.100 COP/USD</t>
  </si>
  <si>
    <t>Transferencia / Nequi / Daviplata</t>
  </si>
  <si>
    <t>Entrega digital inmediata, activación por clave de 25 caracteres</t>
  </si>
  <si>
    <t>https://licenciascol.com/products/windows-11-pro-vitalicio</t>
  </si>
  <si>
    <t>Komputech Colombia S.A.S</t>
  </si>
  <si>
    <t>900784511-2</t>
  </si>
  <si>
    <t>Carrera 50 #36-22, Medellín</t>
  </si>
  <si>
    <t>Licencia Windows 11 Home OEM – licencia permanente para 1 equipo – incluye guía de instalación y soporte básico</t>
  </si>
  <si>
    <t>Transferencia / tarjeta</t>
  </si>
  <si>
    <t>Licencia digital para activación oficial de Windows en 1 PC</t>
  </si>
  <si>
    <t>https://www.komputech.co/shop/l00111-windows-11-home-oem-1-pc-205</t>
  </si>
  <si>
    <t>Tienda Gamer Medellín S.A.S</t>
  </si>
  <si>
    <t>901665210-4</t>
  </si>
  <si>
    <t>Calle 10 #43-20, Medellín</t>
  </si>
  <si>
    <t>Licencia Windows 11 Pro digital OEM – versión profesional con funciones empresariales (BitLocker, dominio y escritorio remoto)</t>
  </si>
  <si>
    <t>4.120 COP/USD</t>
  </si>
  <si>
    <t>Contado / transferencia</t>
  </si>
  <si>
    <t>Incluye soporte para activación y entrega digital</t>
  </si>
  <si>
    <t>https://www.tiendagamermedellin.co/licencia-original-windows-11-pro-digital-microsoft</t>
  </si>
  <si>
    <r>
      <t xml:space="preserve">CUADRO DE COTIZACIONES </t>
    </r>
    <r>
      <rPr>
        <b/>
        <u/>
        <sz val="12"/>
        <color theme="1"/>
        <rFont val="Times New Roman"/>
        <family val="1"/>
      </rPr>
      <t>LICENCIA VISUAL</t>
    </r>
  </si>
  <si>
    <t>SoftDev Colombia S.A.S</t>
  </si>
  <si>
    <t>901552781-4</t>
  </si>
  <si>
    <t>Calle 100 #13-45, Bogotá</t>
  </si>
  <si>
    <t>Licencia Microsoft Visual Studio 2019 Professional – IDE para desarrollo de aplicaciones web, .NET, C#, ASP.NET – licencia digital para 1 usuario</t>
  </si>
  <si>
    <t>4.150 COP/USD</t>
  </si>
  <si>
    <t>Transferencia bancaria / PSE</t>
  </si>
  <si>
    <t>Activación digital inmediata, licencia perpetua</t>
  </si>
  <si>
    <t>https://latiendadelsoftware.com/producto/licencia-visual-studio-2019-professional/</t>
  </si>
  <si>
    <t>DevTools Colombia S.A.S</t>
  </si>
  <si>
    <t>900812334-7</t>
  </si>
  <si>
    <t>Carrera 43A #1-50, Medellín</t>
  </si>
  <si>
    <t>Licencia Visual Studio Enterprise 2022 – entorno de desarrollo profesional con herramientas avanzadas de depuración y desarrollo web</t>
  </si>
  <si>
    <t>Incluye clave digital y manual de instalación</t>
  </si>
  <si>
    <t>https://latiendadelsoftware.com/producto/licencia-visual-studio-enterprise-2022/</t>
  </si>
  <si>
    <t>Sistemas Innovatech S.A.S</t>
  </si>
  <si>
    <t>901667210-3</t>
  </si>
  <si>
    <t>Calle 26 #69-76, Bogotá</t>
  </si>
  <si>
    <t>Licencia Visual Studio Professional 2022 – plataforma para desarrollo de aplicaciones web, escritorio y servicios backend</t>
  </si>
  <si>
    <t>Incluye soporte de instalación y guía técnica</t>
  </si>
  <si>
    <t>https://visualstudio.microsoft.com/vs/pricing/</t>
  </si>
  <si>
    <r>
      <t xml:space="preserve">CUADRO DE COTIZACIONES </t>
    </r>
    <r>
      <rPr>
        <b/>
        <u/>
        <sz val="12"/>
        <color theme="1"/>
        <rFont val="Times New Roman"/>
        <family val="1"/>
      </rPr>
      <t>SOFTWARE LICENCIA</t>
    </r>
  </si>
  <si>
    <r>
      <t xml:space="preserve">CUADRO DE COTIZACIONES </t>
    </r>
    <r>
      <rPr>
        <b/>
        <u/>
        <sz val="12"/>
        <color theme="1"/>
        <rFont val="Times New Roman"/>
        <family val="1"/>
      </rPr>
      <t>MOUSE NOSOTROS</t>
    </r>
  </si>
  <si>
    <t>Revolution Soft Colombia S.A.S</t>
  </si>
  <si>
    <t>901568432-1</t>
  </si>
  <si>
    <t>Calle 80 #19-30, Bogotá</t>
  </si>
  <si>
    <t>Licencia de Software Office 2019 Professional Plus – paquete de productividad para gestión administrativa, reportes y análisis de datos del sistema web</t>
  </si>
  <si>
    <t>Licencia digital perpetua, activación por clave, descarga inmediata</t>
  </si>
  <si>
    <t>https://revolutionsoft.com.co/</t>
  </si>
  <si>
    <t>Licencia Microsoft Office 2021 Professional Plus – herramientas Word, Excel y Outlook para gestión empresarial y reportes de ventas</t>
  </si>
  <si>
    <t>Licencia ESD digital para 1 PC con activación online</t>
  </si>
  <si>
    <t>https://www.komputech.co/shop/category/licencias-de-software-1</t>
  </si>
  <si>
    <t>Mayorista Tecnológico Maitek S.A.S</t>
  </si>
  <si>
    <t>900998321-5</t>
  </si>
  <si>
    <t>Licencia Microsoft 365 Personal – suscripción anual con aplicaciones Office y almacenamiento en la nube para gestión de información empresarial</t>
  </si>
  <si>
    <t>4.090 COP/USD</t>
  </si>
  <si>
    <t>Suscripción anual con actualizaciones automáticas</t>
  </si>
  <si>
    <t>https://www.mayoristatecnologico.com.co/software</t>
  </si>
  <si>
    <t>Compel Electrónica S.A.S</t>
  </si>
  <si>
    <t>900512340-2</t>
  </si>
  <si>
    <t>Calle 48 #65-88, Medellín</t>
  </si>
  <si>
    <t>Mouse óptico USB básico para oficina, compatible con Windows y Linux, ideal para equipos administrativos de desarrollo web</t>
  </si>
  <si>
    <t>4.060 COP/USD</t>
  </si>
  <si>
    <t>Diseño ambidiestro y conexión plug-and-play</t>
  </si>
  <si>
    <t>https://www.compelelectronica.com/product/mouse-optico-logitech-m90/</t>
  </si>
  <si>
    <t>IT Up Colombia S.A.S</t>
  </si>
  <si>
    <t>901410233-6</t>
  </si>
  <si>
    <t>Carrera 24 #63-15, Bogotá</t>
  </si>
  <si>
    <t>Mouse USB óptico para computador, sensor de 1000 DPI, 3 botones, conexión USB para uso en estaciones de trabajo</t>
  </si>
  <si>
    <t>4.050 COP/USD</t>
  </si>
  <si>
    <t>Transferencia / PSE</t>
  </si>
  <si>
    <t>Mouse básico para oficina y desarrollo de software</t>
  </si>
  <si>
    <t>https://itup.com.co/tienda/accesorios-computadores/mouse/logitech-alambrico-m90/</t>
  </si>
  <si>
    <t>Distribuciones TecnoSoft S.A.S</t>
  </si>
  <si>
    <t>901635211-4</t>
  </si>
  <si>
    <t>Calle 30 #44-50, Barranquilla</t>
  </si>
  <si>
    <t>Mouse USB Genius DX-110 para oficina, sensor óptico, conexión USB, ideal para equipos de desarrollo o administración</t>
  </si>
  <si>
    <t>Mouse económico para equipos de escritorio</t>
  </si>
  <si>
    <t>https://precio.com.co/mouse-genius-dx-110/</t>
  </si>
  <si>
    <t>https://www.dell.com/es-co/shop/desktops</t>
  </si>
  <si>
    <t>Garantía 1 año</t>
  </si>
  <si>
    <t>Contado / Cheque</t>
  </si>
  <si>
    <t>1 USD ≈ 4.000 COP</t>
  </si>
  <si>
    <t>Torre Intel i5 11400 / 8GB RAM / SSD 512GB</t>
  </si>
  <si>
    <t>Av Caracas #45-12 Bogotá</t>
  </si>
  <si>
    <t>901.229.771-4</t>
  </si>
  <si>
    <t>Soluciones Informáticas Andinas</t>
  </si>
  <si>
    <t>https://www.hp.com/co-es/desktops</t>
  </si>
  <si>
    <t>Garantia de 1 año</t>
  </si>
  <si>
    <t>Torre Ryzen 5 4600G / 16GB RAM / SSD 512GB</t>
  </si>
  <si>
    <t>Calle 53 #17-25 Bogotá</t>
  </si>
  <si>
    <t>900.875.332-1</t>
  </si>
  <si>
    <t>Tecnología Express S.A.S</t>
  </si>
  <si>
    <t>https://www.lenovo.com/co/es/desktops</t>
  </si>
  <si>
    <t>Garantía 12 meses. Incluye teclado y mouse. Entrega 3-5 días</t>
  </si>
  <si>
    <t>Contado o transferencia</t>
  </si>
  <si>
    <t>Torre administrativa para gestión de ventas y CRM web. Intel Core i5 10400 / 16GB RAM DDR4 / SSD 512GB / Windows 11 Pro / LAN Gigabit</t>
  </si>
  <si>
    <t>Carrera 15 #79-34, Bogotá, Colombia</t>
  </si>
  <si>
    <t>901.456.782-3</t>
  </si>
  <si>
    <t>Computadores Bogotá S.A.S</t>
  </si>
  <si>
    <r>
      <t xml:space="preserve">Observaciones </t>
    </r>
    <r>
      <rPr>
        <i/>
        <sz val="12"/>
        <color theme="1"/>
        <rFont val="Times New Roman"/>
        <family val="1"/>
      </rPr>
      <t xml:space="preserve">
(se debe incluir toda aquella característica que no ha sido posible incluir anteriormente)</t>
    </r>
  </si>
  <si>
    <r>
      <t xml:space="preserve">Forma de Pago 
</t>
    </r>
    <r>
      <rPr>
        <i/>
        <sz val="12"/>
        <color theme="1"/>
        <rFont val="Times New Roman"/>
        <family val="1"/>
      </rPr>
      <t>(Contado o Cheque)</t>
    </r>
  </si>
  <si>
    <t>Tipo de cambio</t>
  </si>
  <si>
    <r>
      <t xml:space="preserve">Importe Total
</t>
    </r>
    <r>
      <rPr>
        <i/>
        <sz val="12"/>
        <color theme="1"/>
        <rFont val="Times New Roman"/>
        <family val="1"/>
      </rPr>
      <t>(moneda extranjera)</t>
    </r>
  </si>
  <si>
    <r>
      <t xml:space="preserve">Importe Total
 IVA incluido
</t>
    </r>
    <r>
      <rPr>
        <i/>
        <u/>
        <sz val="12"/>
        <color theme="1"/>
        <rFont val="Times New Roman"/>
        <family val="1"/>
      </rPr>
      <t>(moneda nacional)</t>
    </r>
  </si>
  <si>
    <r>
      <t xml:space="preserve">Importe Unitario
</t>
    </r>
    <r>
      <rPr>
        <i/>
        <sz val="12"/>
        <color theme="1"/>
        <rFont val="Times New Roman"/>
        <family val="1"/>
      </rPr>
      <t>(moneda nacional)</t>
    </r>
  </si>
  <si>
    <r>
      <t>Descripción del
bien/ servicio (b)</t>
    </r>
    <r>
      <rPr>
        <i/>
        <sz val="12"/>
        <color theme="1"/>
        <rFont val="Times New Roman"/>
        <family val="1"/>
      </rPr>
      <t xml:space="preserve">
Características de los bienes/ servicios</t>
    </r>
  </si>
  <si>
    <t>N° de CUIT / NIT</t>
  </si>
  <si>
    <r>
      <t>Empresa</t>
    </r>
    <r>
      <rPr>
        <i/>
        <sz val="12"/>
        <color theme="1"/>
        <rFont val="Times New Roman"/>
        <family val="1"/>
      </rPr>
      <t xml:space="preserve">
(Nombre fiscal de la empresa)</t>
    </r>
  </si>
  <si>
    <t>CUADRO DE COTIZACIONES</t>
  </si>
  <si>
    <t>https://www.acer.com/co-es/monitors</t>
  </si>
  <si>
    <t>Monitor 22” Full HD HDMI</t>
  </si>
  <si>
    <t>Cra 13 #63-52 Bogotá</t>
  </si>
  <si>
    <t>901.332.445-1</t>
  </si>
  <si>
    <t>Distribuciones Tech Colombia</t>
  </si>
  <si>
    <t>https://www.lg.com/co/monitores</t>
  </si>
  <si>
    <t>Bajo consumo energético</t>
  </si>
  <si>
    <t>Monitor 24” LED Full HD 75Hz</t>
  </si>
  <si>
    <t>Cra 15 #79-34 Bogotá</t>
  </si>
  <si>
    <t>https://www.samsung.com/co/monitors</t>
  </si>
  <si>
    <t>Garantía 12 meses</t>
  </si>
  <si>
    <t>Monitor 24” IPS Full HD HDMI</t>
  </si>
  <si>
    <t>Calle 72 #10-07 Bogotá</t>
  </si>
  <si>
    <t>900.876.223-5</t>
  </si>
  <si>
    <t>Tecnología Integral Colombia</t>
  </si>
  <si>
    <t>Observaciones 
(se debe incluir toda aquella característica que no ha sido posible incluir anteriormente)</t>
  </si>
  <si>
    <t>Forma de Pago 
(Contado o Cheque)</t>
  </si>
  <si>
    <t>Importe Total
(moneda extranjera)</t>
  </si>
  <si>
    <t>Importe Total
 IVA incluido
(moneda nacional)</t>
  </si>
  <si>
    <t>Importe Unitario
(moneda nacional)</t>
  </si>
  <si>
    <t>Descripción del
bien/ servicio (b)
Características de los bienes/ servicios</t>
  </si>
  <si>
    <t>Nº de CUIT, Dirección, Teléfono
(Datos de la empresa)</t>
  </si>
  <si>
    <t>Empresa
(Nombre fiscal de la empresa)</t>
  </si>
  <si>
    <t>https://www.westerndigital.com/products/internal-drives</t>
  </si>
  <si>
    <t>Garantía fabricante</t>
  </si>
  <si>
    <t>SSD WD Green 480GB</t>
  </si>
  <si>
    <t>https://www.crucial.com/ssd</t>
  </si>
  <si>
    <t>Alta velocidad</t>
  </si>
  <si>
    <t>SSD Crucial 480GB SATA</t>
  </si>
  <si>
    <t>https://www.kingston.com/es/ssd</t>
  </si>
  <si>
    <t>Garantía 3 años</t>
  </si>
  <si>
    <t>SSD Kingston 500GB SATA III</t>
  </si>
  <si>
    <t>https://www.toshiba-storage.com</t>
  </si>
  <si>
    <t>Uso para respaldo</t>
  </si>
  <si>
    <t>HDD Toshiba 1TB SATA III</t>
  </si>
  <si>
    <t>Bajo consumo</t>
  </si>
  <si>
    <t>HDD WD Blue 1TB 7200RPM</t>
  </si>
  <si>
    <t>https://www.seagate.com/la/es/products/hard-drives</t>
  </si>
  <si>
    <t>Garantía 2 años</t>
  </si>
  <si>
    <t>Contado / Transferencia</t>
  </si>
  <si>
    <t>HDD Seagate 1TB 7200RPM SATA III</t>
  </si>
  <si>
    <r>
      <t>Nº de CUIT, Dirección, Teléfono</t>
    </r>
    <r>
      <rPr>
        <i/>
        <sz val="12"/>
        <color theme="1"/>
        <rFont val="Times New Roman"/>
        <family val="1"/>
      </rPr>
      <t xml:space="preserve">
(Datos de la empresa)</t>
    </r>
  </si>
  <si>
    <r>
      <rPr>
        <b/>
        <sz val="10"/>
        <color theme="1"/>
        <rFont val="Arial"/>
        <family val="2"/>
      </rPr>
      <t>(b) Ejemplos:</t>
    </r>
    <r>
      <rPr>
        <sz val="10"/>
        <color theme="1"/>
        <rFont val="Arial"/>
        <family val="2"/>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</si>
  <si>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Arial"/>
        <family val="2"/>
      </rPr>
      <t xml:space="preserve">(a) Se deben presentar tres (3) presupuestos cuando:   
   </t>
    </r>
    <r>
      <rPr>
        <sz val="10"/>
        <color theme="1"/>
        <rFont val="Arial"/>
        <family val="2"/>
      </rPr>
      <t>El valor del gasto supere el monto de pesos un mil ($ 1.000,00). 
     Se pueden presentar al menos tres (3)</t>
    </r>
    <r>
      <rPr>
        <sz val="10"/>
        <color theme="1"/>
        <rFont val="Arial"/>
        <family val="2"/>
      </rPr>
      <t xml:space="preserve"> solicitudes de cotización (del bien o servicio a contratar) cursadas</t>
    </r>
    <r>
      <rPr>
        <sz val="10"/>
        <color theme="1"/>
        <rFont val="Arial"/>
        <family val="2"/>
      </rPr>
      <t xml:space="preserve"> a tres o más empresas oferentes.
     L</t>
    </r>
    <r>
      <rPr>
        <sz val="10"/>
        <color theme="1"/>
        <rFont val="Arial"/>
        <family val="2"/>
      </rPr>
      <t xml:space="preserve">a selección del proveedor se hará con el criterio del más bajo precio.
     </t>
    </r>
    <r>
      <rPr>
        <b/>
        <sz val="10"/>
        <color theme="1"/>
        <rFont val="Arial"/>
        <family val="2"/>
      </rPr>
      <t>En caso de no contar con tres (3) presupuestos, o no poder seleccionar al proveedor que ofrece menor precio, presentar este cuadro una nota de justificación siguiendo las pautas del ítem    (XX)</t>
    </r>
    <r>
      <rPr>
        <sz val="10"/>
        <color theme="1"/>
        <rFont val="Arial"/>
        <family val="2"/>
      </rPr>
      <t xml:space="preserve">
</t>
    </r>
  </si>
  <si>
    <t>https://www.amazon.com/s?k=crucial+ram+16gb+ddr4+3200mhz&amp;language=es_US&amp;adgrpid=79218254153&amp;hvadid=602529824615&amp;hvdev=c&amp;hvlocphy=1003659&amp;hvnetw=g&amp;hvqmt=e&amp;hvrand=4175120075867419545&amp;hvtargid=kwd-1124514852465&amp;hydadcr=936_1015034366&amp;mcid=65ecf6b18ad93050a4bfa4c1c1ce9c36&amp;tag=googleuscolom-20&amp;ref=pd_sl_7xu71vwv9b_e</t>
  </si>
  <si>
    <t>Mouse economico ideal para trabajo de oficina Producto con buena relación precio-rendimiento</t>
  </si>
  <si>
    <t>$58 USD</t>
  </si>
  <si>
    <t>Memoria RAM Corsair 16GB DDR4 3200 MHz alto rendimiento</t>
  </si>
  <si>
    <t>901223998-4
Calle 26 #69-63, Bogotá</t>
  </si>
  <si>
    <t>Amazon  S.A.S</t>
  </si>
  <si>
    <t>https://www.amazon.com/s?k=crucial+ram+16gb+ddr4+3200mhz&amp;language=es_US&amp;adgrpid=79218254153&amp;hvadid=602529824615&amp;hvdev=c&amp;hvlocphy=1003659&amp;hvnetw=g&amp;hvqmt=e&amp;hvrand=6352668263566247394&amp;hvtargid=kwd-1124514852465&amp;hydadcr=936_1015034366&amp;mcid=65ecf6b18ad93050a4bfa4c1c1ce9c36&amp;tag=googleuscolom-20&amp;ref=pd_sl_7xu71vwv9b_e</t>
  </si>
  <si>
    <t>Mouse sencillo, compatible con la mayoria de computadores Incluye soporte técnico</t>
  </si>
  <si>
    <t>Contado o tarjeta</t>
  </si>
  <si>
    <t>$66 USD</t>
  </si>
  <si>
    <t>Memoria RAM 16GB DDR4 3200 MHz compatible con computadores empresariales</t>
  </si>
  <si>
    <t>900983211-7
Carrera 15 #93-60, Bogotá</t>
  </si>
  <si>
    <t>Amazon S.A.S</t>
  </si>
  <si>
    <t>https://www.amazon.com/s?k=16+gb+corsair+vengeance+ddr4&amp;language=es_US&amp;adgrpid=81699018167&amp;hvadid=673177058077&amp;hvdev=c&amp;hvlocphy=1003659&amp;hvnetw=g&amp;hvqmt=b&amp;hvrand=9905942758844049906&amp;hvtargid=kwd-298821844462&amp;hydadcr=937_1015168466&amp;mcid=39aec5d415d33e64a4776a55eab2d310&amp;tag=googleuscolom-20&amp;ref=pd_sl_2zr8qiljb9_b</t>
  </si>
  <si>
    <t>Mouse inalambrico portatil con receptor USB, ideal para oficina  Garantía de 1 año</t>
  </si>
  <si>
    <t>$61 USD</t>
  </si>
  <si>
    <t>Memoria RAM Kingston 16GB DDR4 3200 MHz para PC de escritorio</t>
  </si>
  <si>
    <t>901456782-3
Calle 80 #12-45, Bogotá</t>
  </si>
  <si>
    <r>
      <rPr>
        <b/>
        <sz val="10"/>
        <color theme="1"/>
        <rFont val="Trebuchet MS"/>
        <family val="2"/>
      </rPr>
      <t xml:space="preserve">Observaciones </t>
    </r>
    <r>
      <rPr>
        <i/>
        <sz val="10"/>
        <color theme="1"/>
        <rFont val="Trebuchet MS"/>
        <family val="2"/>
      </rPr>
      <t xml:space="preserve">
</t>
    </r>
    <r>
      <rPr>
        <i/>
        <sz val="8"/>
        <color theme="1"/>
        <rFont val="Trebuchet MS"/>
        <family val="2"/>
      </rPr>
      <t>(se debe incluir toda aquella característica que no ha sido posible incluir anteriormente)</t>
    </r>
  </si>
  <si>
    <r>
      <rPr>
        <b/>
        <sz val="10"/>
        <color theme="1"/>
        <rFont val="Trebuchet MS"/>
        <family val="2"/>
      </rPr>
      <t xml:space="preserve">Forma de Pago 
</t>
    </r>
    <r>
      <rPr>
        <i/>
        <sz val="8"/>
        <color theme="1"/>
        <rFont val="Trebuchet MS"/>
        <family val="2"/>
      </rPr>
      <t>(Contado o Cheque)</t>
    </r>
  </si>
  <si>
    <r>
      <rPr>
        <b/>
        <sz val="10"/>
        <color theme="1"/>
        <rFont val="Arial"/>
        <family val="2"/>
      </rPr>
      <t xml:space="preserve">Importe Total
</t>
    </r>
    <r>
      <rPr>
        <i/>
        <sz val="8"/>
        <color theme="1"/>
        <rFont val="Arial"/>
        <family val="2"/>
      </rPr>
      <t>(moneda extranjera)</t>
    </r>
  </si>
  <si>
    <r>
      <rPr>
        <b/>
        <u/>
        <sz val="10"/>
        <color theme="1"/>
        <rFont val="Trebuchet MS"/>
        <family val="2"/>
      </rPr>
      <t>Importe Total</t>
    </r>
    <r>
      <rPr>
        <b/>
        <u/>
        <sz val="10"/>
        <color theme="1"/>
        <rFont val="Trebuchet MS"/>
        <family val="2"/>
      </rPr>
      <t xml:space="preserve">
 IVA incluido
</t>
    </r>
    <r>
      <rPr>
        <i/>
        <u/>
        <sz val="8"/>
        <color theme="1"/>
        <rFont val="Trebuchet MS"/>
        <family val="2"/>
      </rPr>
      <t>(moneda nacional)</t>
    </r>
  </si>
  <si>
    <r>
      <rPr>
        <b/>
        <sz val="10"/>
        <color theme="1"/>
        <rFont val="Trebuchet MS"/>
        <family val="2"/>
      </rPr>
      <t xml:space="preserve">Importe Unitario
</t>
    </r>
    <r>
      <rPr>
        <i/>
        <sz val="8"/>
        <color theme="1"/>
        <rFont val="Trebuchet MS"/>
        <family val="2"/>
      </rPr>
      <t>(moneda nacional)</t>
    </r>
  </si>
  <si>
    <r>
      <rPr>
        <b/>
        <sz val="10"/>
        <color theme="1"/>
        <rFont val="Trebuchet MS"/>
        <family val="2"/>
      </rPr>
      <t>Descripción del
bien/ servicio (b)</t>
    </r>
    <r>
      <rPr>
        <i/>
        <sz val="10"/>
        <color theme="1"/>
        <rFont val="Trebuchet MS"/>
        <family val="2"/>
      </rPr>
      <t xml:space="preserve">
</t>
    </r>
    <r>
      <rPr>
        <i/>
        <sz val="8"/>
        <color theme="1"/>
        <rFont val="Trebuchet MS"/>
        <family val="2"/>
      </rPr>
      <t>Características de los bienes/ servicios</t>
    </r>
  </si>
  <si>
    <r>
      <rPr>
        <b/>
        <sz val="10"/>
        <color theme="1"/>
        <rFont val="Trebuchet MS"/>
        <family val="2"/>
      </rPr>
      <t>Nº de CUIT, Dirección, Teléfono</t>
    </r>
    <r>
      <rPr>
        <i/>
        <sz val="10"/>
        <color theme="1"/>
        <rFont val="Trebuchet MS"/>
        <family val="2"/>
      </rPr>
      <t xml:space="preserve">
</t>
    </r>
    <r>
      <rPr>
        <i/>
        <sz val="8"/>
        <color theme="1"/>
        <rFont val="Trebuchet MS"/>
        <family val="2"/>
      </rPr>
      <t>(Datos de la empresa)</t>
    </r>
  </si>
  <si>
    <r>
      <rPr>
        <b/>
        <sz val="10"/>
        <color theme="1"/>
        <rFont val="Trebuchet MS"/>
        <family val="2"/>
      </rPr>
      <t>Empresa</t>
    </r>
    <r>
      <rPr>
        <i/>
        <sz val="8"/>
        <color theme="1"/>
        <rFont val="Trebuchet MS"/>
        <family val="2"/>
      </rPr>
      <t xml:space="preserve">
(Nombre fiscal de la empresa)</t>
    </r>
  </si>
  <si>
    <t>https://lasus.com.co/es/content/servidores-poweredge-dell?utm_campaign=6451544044&amp;utm_source=google&amp;utm_medium=cpc&amp;utm_content=448498963815&amp;utm_term=servidores%20dell&amp;adgroupid=76797377266&amp;gad_source=1&amp;gad_campaignid=6451544044&amp;gclid=CjwKCAjw1N7NBhAoEiwAcPchpwJUZiVijHcIW_OhOot0imV1H0cJqHVDd52_zZcFa1NHxqqjIdlVfxoCKW8QAvD_BwE</t>
  </si>
  <si>
    <t>Servidor compacto para empresas pequeñas</t>
  </si>
  <si>
    <t>$2.082 USD</t>
  </si>
  <si>
    <t>$8.092.000</t>
  </si>
  <si>
    <t>$1.292.000</t>
  </si>
  <si>
    <t>$6.800.000</t>
  </si>
  <si>
    <t>Lenovo ThinkSystem ST50 servidor torre para oficina administrativa, Intel Xeon E-2124, 16GB RAM, 1TB HDD</t>
  </si>
  <si>
    <t>Bogotá / Tel: +57 1 587 0400</t>
  </si>
  <si>
    <t>Lenovo</t>
  </si>
  <si>
    <t>https://lasus.com.co/es/content/tecnologia-servidores-proliant-hpe-gen-10?utm_campaign=6451544044&amp;utm_source=google&amp;utm_medium=cpc&amp;utm_content=482073522194&amp;utm_term=&amp;adgroupid=83251051132&amp;gad_source=1&amp;gad_campaignid=6451544044&amp;gclid=CjwKCAjw1N7NBhAoEiwAcPchpy4z6h-te6B3BPSXk5ofiikHO61sCPWel5IS2kQ-qY-W3qYTXZHQ0xoCX-kQAvD_BwE</t>
  </si>
  <si>
    <t>Incluye herramientas de administración remota</t>
  </si>
  <si>
    <t>Contado o tranferencia</t>
  </si>
  <si>
    <t>$8.330.000</t>
  </si>
  <si>
    <t>$1.330.000</t>
  </si>
  <si>
    <t>$7.000.000</t>
  </si>
  <si>
    <t>HPE ProLiant ML30 Gen10 servidor para pequeñas empresas, Intel Xeon E-2224, 16GB RAM, 1TB HDD</t>
  </si>
  <si>
    <t>Bogotá / Tel: +57 1 602 9191</t>
  </si>
  <si>
    <t>Hewlett Packard Enterprise</t>
  </si>
  <si>
    <t>Servidor empresarial con soporte técnico</t>
  </si>
  <si>
    <t>$1.933 USD</t>
  </si>
  <si>
    <t>$7.735.000</t>
  </si>
  <si>
    <t>$1.235.000</t>
  </si>
  <si>
    <t>$6.500.000</t>
  </si>
  <si>
    <t>Dell PowerEdge T150 servidor torre para administración, CPU Intel Xeon E-2314, 16GB RAM, 1TB HDD</t>
  </si>
  <si>
    <t>Bogotá / Tel: +57 1 508 8800</t>
  </si>
  <si>
    <t>Dell Technologies</t>
  </si>
  <si>
    <t>https://www.mercadolibre.com.co/teclado-genius-slimstar-126-qwerty-membrana-negro-espanol-usb-full-size/p/MCO17410211</t>
  </si>
  <si>
    <t>Teclado económico para computadores administrativos</t>
  </si>
  <si>
    <t>Teclado ≈ $11.9 USD</t>
  </si>
  <si>
    <t>$11.9 USD</t>
  </si>
  <si>
    <t>Genius SlimStar 126 Keyboard teclado USB para oficina con teclas silenciosas</t>
  </si>
  <si>
    <t>Calle 170 #64-47 Bogotá / Tel: +57 1 4249393</t>
  </si>
  <si>
    <t>Mercado Libre</t>
  </si>
  <si>
    <t>https://www.amazon.com/s?k=hp+150+wired+keyboard&amp;language=es_US&amp;adgrpid=160408986186&amp;hvadid=696166832638&amp;hvdev=c&amp;hvlocphy=1003659&amp;hvnetw=g&amp;hvqmt=e&amp;hvrand=16135102032318502716&amp;hvtargid=kwd-1454168940947&amp;hydadcr=724_1015034167&amp;mcid=89012d47785f31c98eccb8acaeb14340&amp;tag=googleuscolom-20&amp;ref=pd_sl_zmeycif1l_e</t>
  </si>
  <si>
    <t>Teclado compacto compatible con Windows</t>
  </si>
  <si>
    <t>Teclado ≈ $13.38 USD</t>
  </si>
  <si>
    <t>$13.38 USD</t>
  </si>
  <si>
    <t>HP 150 Wired Keyboard teclado con cable USB, diseño ergonómico para uso administrativo</t>
  </si>
  <si>
    <t>Av. Carrera 68 #72-43 Bogotá / Tel: +57 1 4073033</t>
  </si>
  <si>
    <t>Amazon</t>
  </si>
  <si>
    <t>https://www.amazon.com/s?k=logitech+k120+wired+keyboard&amp;language=es_US&amp;adgrpid=77280615265&amp;hvadid=673140321111&amp;hvdev=c&amp;hvlocphy=1003659&amp;hvnetw=g&amp;hvqmt=e&amp;hvrand=2003848132199340377&amp;hvtargid=kwd-317017830218&amp;hydadcr=717_1015168563&amp;mcid=00c9107bd4553ef69df7fbe20a4703e6&amp;tag=googleuscolom-20&amp;ref=pd_sl_2aodsxoly6_e</t>
  </si>
  <si>
    <t>Teclado resistente a salpicaduras, ideal para oficina</t>
  </si>
  <si>
    <t>Teclado ≈ $14.87 USD</t>
  </si>
  <si>
    <t>$14.87 USD</t>
  </si>
  <si>
    <t>Logitech K120 Wired Keyboard teclado USB para computador administrativo, diseño resistente y cómodo</t>
  </si>
  <si>
    <t>Bogotá / Tel: +57 1 800 105 3000</t>
  </si>
  <si>
    <t xml:space="preserve">CONTADO </t>
  </si>
  <si>
    <t>https://www.amazon.com/s?k=mouses+wireless&amp;language=es_US&amp;adgrpid=160623834631&amp;hvadid=687629799004&amp;hvdev=c&amp;hvlocphy=1003659&amp;hvnetw=g&amp;hvqmt=b&amp;hvrand=7548542866907645838&amp;hvtargid=kwd-1564227886&amp;hydadcr=751_1015168580&amp;mcid=4174ea8aa6c83b24af57732c62316900&amp;tag=googleuscolom-20&amp;ref=pd_sl_9la7vgzocf_b</t>
  </si>
  <si>
    <t>$14 USD</t>
  </si>
  <si>
    <t>Mouse ergonómico profesional 1600 DPI para trabajo prolongado</t>
  </si>
  <si>
    <t>https://www.amazon.com/s?k=hp+mouse+wireless+for+laptop&amp;language=es_US&amp;adgrpid=158527062398&amp;hvadid=687467455659&amp;hvdev=c&amp;hvlocphy=1003659&amp;hvnetw=g&amp;hvqmt=b&amp;hvrand=2445670889631722699&amp;hvtargid=kwd-408895670843&amp;hydadcr=717_1015034144&amp;mcid=41b28ea297a831c781bab5a8a3e49c81&amp;tag=googleuscolom-20&amp;ref=pd_sl_3hiic5f0rr_b</t>
  </si>
  <si>
    <t>$16 USD</t>
  </si>
  <si>
    <t>Mouse inalámbrico 2.4 GHz con receptor USB, ideal para computadores de oficina</t>
  </si>
  <si>
    <t>https://www.amazon.com/s?k=logitech+m185+wireless+mouse&amp;language=es_US&amp;adgrpid=160729136053&amp;hvadid=696143784687&amp;hvdev=c&amp;hvlocphy=1003659&amp;hvnetw=g&amp;hvqmt=e&amp;hvrand=17563222722783448525&amp;hvtargid=kwd-297587856699&amp;hydadcr=717_1015168563&amp;mcid=07d39be70f0c3ddbb0247fd3d1dc5663&amp;tag=googleuscolom-20&amp;ref=pd_sl_4ihv3vd1ln_e</t>
  </si>
  <si>
    <t>$10 USD</t>
  </si>
  <si>
    <t>Mouse óptico USB 1200 DPI para oficina, compatible con Windows y Linux</t>
  </si>
  <si>
    <r>
      <t xml:space="preserve">
</t>
    </r>
    <r>
      <rPr>
        <b/>
        <sz val="10"/>
        <color theme="1"/>
        <rFont val="Arial"/>
        <family val="2"/>
      </rPr>
      <t>Link</t>
    </r>
  </si>
  <si>
    <r>
      <rPr>
        <b/>
        <sz val="10"/>
        <color theme="1"/>
        <rFont val="Arial"/>
        <family val="2"/>
      </rPr>
      <t xml:space="preserve">Importe Total
</t>
    </r>
    <r>
      <rPr>
        <b/>
        <i/>
        <sz val="8"/>
        <color theme="1"/>
        <rFont val="Arial"/>
        <family val="2"/>
      </rPr>
      <t>(moneda extranjera)</t>
    </r>
  </si>
  <si>
    <t>(b) Ejemplos: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</si>
  <si>
    <t xml:space="preserve">(a) Se deben presentar tres (3) presupuestos cuando:   
   El valor del gasto supere el monto de pesos un mil ($ 1.000,00). 
     Se pueden presentar al menos tres (3) solicitudes de cotización (del bien o servicio a contratar) cursadas a tres o más empresas oferentes.
     La selección del proveedor se hará con el criterio del más bajo precio.
     En caso de no contar con tres (3) presupuestos, o no poder seleccionar al proveedor que ofrece menor precio, presentar este cuadro una nota de justificación siguiendo las pautas del ítem    (XX)
</t>
  </si>
  <si>
    <t>https://www.hp.com/co-es/shop/hp-laptop-15-fc0234la-b9tn8la.html</t>
  </si>
  <si>
    <t>Muy buena relación precio-rendimiento.</t>
  </si>
  <si>
    <t>N/A</t>
  </si>
  <si>
    <t>-</t>
  </si>
  <si>
    <t>Lenovo IdeaPad Slim 3 15.6" AMD Ryzen básico</t>
  </si>
  <si>
    <t>NIT Ktronix (consultar)</t>
  </si>
  <si>
    <t>Ktronix</t>
  </si>
  <si>
    <t>https://www.alkosto.com/computador-portatil-lenovo-156-pulgadas-ideapad-slim-3-amd/p/196804839974</t>
  </si>
  <si>
    <t>Buen stock, garantía local.</t>
  </si>
  <si>
    <t>Portátil HP fd0235la o similar (i3, 8GB, 512GB SSD)</t>
  </si>
  <si>
    <t>NIT Falabella varios</t>
  </si>
  <si>
    <t>Falabella / Ktronix</t>
  </si>
  <si>
    <t>Nº 2</t>
  </si>
  <si>
    <t>https://www.ktronix.com/computador-portatil-hp-156-pulgadas-fc0234la-amd-ryzen-3/p/198990785356</t>
  </si>
  <si>
    <t>Opción ultra económica actual en promo. Ideal para oficina/web básica.</t>
  </si>
  <si>
    <t>1.580.000 (promedio promo)</t>
  </si>
  <si>
    <t>1.450.000 - 1.650.000</t>
  </si>
  <si>
    <t>Portátil HP 15.6" o Lenovo IdeaPad Slim 3 (Ryzen 3 o i3, 8GB RAM, 512GB SSD, Windows 11)</t>
  </si>
  <si>
    <t>NIT Alkosto 890900943-1, Bogotá</t>
  </si>
  <si>
    <t>Alkosto / Ktronix</t>
  </si>
  <si>
    <t>LINK</t>
  </si>
  <si>
    <r>
      <t xml:space="preserve">Observaciones </t>
    </r>
    <r>
      <rPr>
        <b/>
        <i/>
        <sz val="12"/>
        <color theme="1"/>
        <rFont val="Times New Roman"/>
        <family val="1"/>
      </rPr>
      <t xml:space="preserve">
(se debe incluir toda aquella característica que no ha sido posible incluir anteriormente)</t>
    </r>
  </si>
  <si>
    <r>
      <t xml:space="preserve">Forma de Pago 
</t>
    </r>
    <r>
      <rPr>
        <b/>
        <i/>
        <sz val="12"/>
        <color theme="1"/>
        <rFont val="Times New Roman"/>
        <family val="1"/>
      </rPr>
      <t>(Contado o Cheque)</t>
    </r>
  </si>
  <si>
    <r>
      <t xml:space="preserve">Importe Total
</t>
    </r>
    <r>
      <rPr>
        <b/>
        <i/>
        <sz val="12"/>
        <color theme="1"/>
        <rFont val="Times New Roman"/>
        <family val="1"/>
      </rPr>
      <t>(moneda extranjera)</t>
    </r>
  </si>
  <si>
    <r>
      <t xml:space="preserve">Importe Total
 IVA incluido
</t>
    </r>
    <r>
      <rPr>
        <b/>
        <i/>
        <u/>
        <sz val="12"/>
        <color theme="1"/>
        <rFont val="Times New Roman"/>
        <family val="1"/>
      </rPr>
      <t>(moneda nacional)</t>
    </r>
  </si>
  <si>
    <r>
      <t xml:space="preserve">Importe Unitario
</t>
    </r>
    <r>
      <rPr>
        <b/>
        <i/>
        <sz val="12"/>
        <color theme="1"/>
        <rFont val="Times New Roman"/>
        <family val="1"/>
      </rPr>
      <t>(moneda nacional)</t>
    </r>
  </si>
  <si>
    <r>
      <t>Descripción del
bien/ servicio (b)</t>
    </r>
    <r>
      <rPr>
        <b/>
        <i/>
        <sz val="12"/>
        <color theme="1"/>
        <rFont val="Times New Roman"/>
        <family val="1"/>
      </rPr>
      <t xml:space="preserve">
Características de los bienes/ servicios</t>
    </r>
  </si>
  <si>
    <r>
      <t>Nº de CUIT, Dirección, Teléfono</t>
    </r>
    <r>
      <rPr>
        <b/>
        <i/>
        <sz val="12"/>
        <color theme="1"/>
        <rFont val="Times New Roman"/>
        <family val="1"/>
      </rPr>
      <t xml:space="preserve">
(Datos de la empresa)</t>
    </r>
  </si>
  <si>
    <r>
      <t>Empresa</t>
    </r>
    <r>
      <rPr>
        <b/>
        <i/>
        <sz val="12"/>
        <color theme="1"/>
        <rFont val="Times New Roman"/>
        <family val="1"/>
      </rPr>
      <t xml:space="preserve">
(Nombre fiscal de la empresa)</t>
    </r>
  </si>
  <si>
    <t>COTIZACIÓN PORTATIL PARA NOSOTROS</t>
  </si>
  <si>
    <t>https://www.ktronix.com/computadores-tablet/monitores/c/BI_110_KTRON</t>
  </si>
  <si>
    <t>Mejor ángulo de visión si necesitas calidad.</t>
  </si>
  <si>
    <t>Monitor LG 24" básico FHD</t>
  </si>
  <si>
    <t>NIT Alkosto</t>
  </si>
  <si>
    <t>Alkosto</t>
  </si>
  <si>
    <t>https://www.alkosto.com/monitor-hp-24-pulgadas-v24v-fhd-plano-negro/p/196548193998</t>
  </si>
  <si>
    <t>Marca local económica con buena pantalla.</t>
  </si>
  <si>
    <t>Monitor KALLEY 24" M24FP3 FHD o LG/Samsung similar</t>
  </si>
  <si>
    <t>NIT Ktronix</t>
  </si>
  <si>
    <t>https://www.ktronix.com/monitor-kalley-24-pulgadas-m24fp3-fhd-plano-negro/p/7705946475495</t>
  </si>
  <si>
    <t>El más barato confiable, HDMI, buen para trabajo.</t>
  </si>
  <si>
    <t>400.000 - 500.000</t>
  </si>
  <si>
    <t>Monitor HP V24V 24" FHD o Kalley/Samsung básico 24" FHD</t>
  </si>
  <si>
    <t>NIT Alkosto 890900943-1</t>
  </si>
  <si>
    <t>COTIZACIÓN MONITOR PARA NOSOTROS</t>
  </si>
  <si>
    <t>https://www.falabella.com.co/falabella-co/category/CATG33192/Discos-Duros-Externos</t>
  </si>
  <si>
    <t>Más barato si es interno (pero externo es mejor para movilidad).</t>
  </si>
  <si>
    <t>160.000 - 200.000</t>
  </si>
  <si>
    <t>Disco interno WD 1TB HDD (si lo instalas en PC)</t>
  </si>
  <si>
    <t>Varios</t>
  </si>
  <si>
    <t>PCWare o Falabella</t>
  </si>
  <si>
    <t>Muy confiable, antigolpes opcional.</t>
  </si>
  <si>
    <t>Disco externo Toshiba o WD 1TB básico</t>
  </si>
  <si>
    <t>Systore / Tiendas locales</t>
  </si>
  <si>
    <t>https://listado.mercadolibre.com.co/disco-duro-externo-1tb-toshiba</t>
  </si>
  <si>
    <t>El más económico y portátil para backups de clientes/ventas.</t>
  </si>
  <si>
    <t>220.000 - 250.000</t>
  </si>
  <si>
    <t>Disco externo Toshiba Canvio Basics 1TB USB 3.0</t>
  </si>
  <si>
    <t>Varios vendedores</t>
  </si>
  <si>
    <t>Mercado Libre / Falabella</t>
  </si>
  <si>
    <t>COTIZACIÓN DISCOS MECANICOS PARA NOSOTROS</t>
  </si>
  <si>
    <t>https://www.godaddy.com/es/airo?hp=true&amp;offer=3year</t>
  </si>
  <si>
    <t>Buen soporte, pero Hostinger gana en precio inicial.</t>
  </si>
  <si>
    <t>~200.000 - 300.000</t>
  </si>
  <si>
    <t>Plan inicial económico anual</t>
  </si>
  <si>
    <t>GoDaddy o WNPower</t>
  </si>
  <si>
    <t>https://www.colombiahosting.com.co/hosting</t>
  </si>
  <si>
    <t>Hosting 100% colombiano, servidores en el país (mejor latencia).</t>
  </si>
  <si>
    <t>115.000 - 150.000</t>
  </si>
  <si>
    <t>~115.000 anual</t>
  </si>
  <si>
    <t>Plan Colhost 1 o básico (6-10 GB, cPanel, soporte local)</t>
  </si>
  <si>
    <t>NIT 9001651058, Cali</t>
  </si>
  <si>
    <t>ColombiaHosting</t>
  </si>
  <si>
    <t>https://www.hostinger.com/co/hosting-web</t>
  </si>
  <si>
    <t>Ultra económico con promo actual, ideal para página ventas pequeña.</t>
  </si>
  <si>
    <t>Contado/Tarjeta</t>
  </si>
  <si>
    <r>
      <t>235.000 - 300.000</t>
    </r>
    <r>
      <rPr>
        <sz val="12"/>
        <color rgb="FF000000"/>
        <rFont val="Times New Roman"/>
        <family val="1"/>
      </rPr>
      <t xml:space="preserve"> (primer año)</t>
    </r>
  </si>
  <si>
    <t>4.900/mes promo → anual ~235.000 promo</t>
  </si>
  <si>
    <t>Plan Single o Premium anual (50-100 GB, dominio gratis 1er año, SSL, backups)</t>
  </si>
  <si>
    <t>Hostinger (internacional, servidores rápidos)</t>
  </si>
  <si>
    <t>Hostinger</t>
  </si>
  <si>
    <t>COTIZACIÓN SERVIDORES PARA NOSOTROS</t>
  </si>
  <si>
    <t>Corsair Vengeance LPX 16GB DDR4 3200MHz. (s. f.). Memoria RAM Corsair 1x16GB 3200MHz Vengeance LPX DDR4. Mercado Libre. https://www.mercadolibre.com.co/memoria-ram-corsair-1x16gb-3200mhz-vengeance-lpx-ddr4-promo/up/MCOU3776092043</t>
  </si>
  <si>
    <t>Incluye disipador de calor para mejor estabilidad del sistema.</t>
  </si>
  <si>
    <t>Tarjeta o transferencia</t>
  </si>
  <si>
    <t>1 USD ≈ 3.900 COP</t>
  </si>
  <si>
    <t>$105 USD</t>
  </si>
  <si>
    <t>$412.000 COP aprox.</t>
  </si>
  <si>
    <t>$346.000 COP</t>
  </si>
  <si>
    <t>Memoria RAM Corsair Vengeance LPX DDR4 16 GB 3200 MHz.</t>
  </si>
  <si>
    <t>NIT: 900.208.309-7 / Dirección: Cra 15 #77-05 Local 204, Centro Comercial Unilago, Bogotá / Tel: (601) 4672626</t>
  </si>
  <si>
    <t>Corsair</t>
  </si>
  <si>
    <t>Kingston. (s. f.). Memoria RAM DDR4 PC 8GB Kingston HyperX Fury Beast 3200MHz KF432C16BB/8. Systore Colombia. https://systorecolombia.com/ddr4-pc/741-memoria-ram-ddr4-pc-8gb-kingston-hyperx-fury-beast-3200mhz-kf432c16bb8.html</t>
  </si>
  <si>
    <t>Memoria de alto rendimiento con soporte para perfiles XMP.</t>
  </si>
  <si>
    <t>Transferencia</t>
  </si>
  <si>
    <t>$93 USD</t>
  </si>
  <si>
    <t>$363.000 COP aprox.</t>
  </si>
  <si>
    <t>$305.000 COP</t>
  </si>
  <si>
    <t>Memoria RAM DDR4 Kingston Fury Beast 8 GB 3200 MHz.</t>
  </si>
  <si>
    <t>NIT: 890.900.943-1 / Dirección: Cra 68B #25B-80, Bogotá / Tel: (601) 4073033</t>
  </si>
  <si>
    <t>Kingston</t>
  </si>
  <si>
    <t>Fonet. (s. f.). Memoria RAM ADATA para PC 8GB DDR4 Bus 3200MHz. https://www.fonet.com.co/memoria-ram-adata-para-pc-8gb-ddr4-bus-3200mhz</t>
  </si>
  <si>
    <t>Memoria compatible con equipos DDR4 de escritorio.</t>
  </si>
  <si>
    <t>$19,70 USD</t>
  </si>
  <si>
    <t>$76.900 COP aprox.</t>
  </si>
  <si>
    <t>$64.638 COP</t>
  </si>
  <si>
    <t>Memoria RAM DDR4 de 8 GB 3200 MHz para computador de escritorio.</t>
  </si>
  <si>
    <t>NIT: 900.270.909-3 / Dirección: Cra 15 #78-33 Local 275, Centro Comercial Unilago, Bogotá / Tel: 319 557 3937</t>
  </si>
  <si>
    <t>ADATA Technology</t>
  </si>
  <si>
    <t>eBay. (s. f.). XFX Radeon RX 6400 4GB GDDR6 PCI Express 4.0 Low Profile Video Card. eBay. https://www.ebay.com/itm/335194760547</t>
  </si>
  <si>
    <t>Compatible con PCIe 4.0 y monitores de alta resolución.</t>
  </si>
  <si>
    <t>$217 USD</t>
  </si>
  <si>
    <t>Tarjeta gráfica Radeon RX 6400 4GB GDDR6 para computadores de escritorio. Ideal para sistemas de trabajo y aplicaciones gráficas.</t>
  </si>
  <si>
    <t>NIT: 900208309-7 / Cra 15 #77-05 Local 204 CC Unilago Bogotá / Tel: (601) 4672626</t>
  </si>
  <si>
    <t>AMD / Gigabyte</t>
  </si>
  <si>
    <t>Mercado Libre. (s. f.). Tarjeta de video NVIDIA MSI GeForce 10 Series GTX 1050 Ti. Mercado Libre.</t>
  </si>
  <si>
    <t>Tarjeta de gama básica con bajo consumo energético.</t>
  </si>
  <si>
    <t>Tarjeta / pago en línea</t>
  </si>
  <si>
    <t>$168 USD</t>
  </si>
  <si>
    <t>Tarjeta de video MSI GeForce GTX 1050 Ti 4GB GDDR5 para PC. Diseñada para mejorar el rendimiento gráfico y soporte multimedia.</t>
  </si>
  <si>
    <t>NIT: 890900943-1 / Cra 68B #25B-80 Bogotá / Tel: (601) 4073033</t>
  </si>
  <si>
    <t>MSI</t>
  </si>
  <si>
    <t>Mercado Libre. (s. f.). Tarjeta Gigabyte GTX 1650 OC 4GB DDR6. Mercado Libre. https://www.mercadolibre.com.co/tarjeta-gigabyte-gtx-1650-oc-4gb-ddr6/p/MCO24543433</t>
  </si>
  <si>
    <t>GPU de 4 GB GDDR6 compatible con PCI-Express.</t>
  </si>
  <si>
    <t>Tarjeta / transferencia</t>
  </si>
  <si>
    <t>$244 USD</t>
  </si>
  <si>
    <t>Tarjeta de video Gigabyte GeForce GTX 1650 4GB GDDR6 para computador de escritorio. Permite procesamiento gráfico y soporte para aplicaciones visuales.</t>
  </si>
  <si>
    <t>NIT: 900270909-3 / Cra 15 #78-33 Local 275, CC Unilago, Bogotá / Tel: 3195573937</t>
  </si>
  <si>
    <t>Gigabyte</t>
  </si>
  <si>
    <t>https://www.mercadolibre.com.co/procesador-amd-ryzen-5-5600gt-wraith-stealth-cooler/p/MCO32444906</t>
  </si>
  <si>
    <t>Mercado Libre. (s. f.). Procesador AMD Ryzen 5 5600GT Wraith Stealth Cooler. Mercado Libre.</t>
  </si>
  <si>
    <t>Compatible con socket AM4, ideal para equipos de desarrollo.</t>
  </si>
  <si>
    <t>$243 USD</t>
  </si>
  <si>
    <t>Procesador AMD Ryzen 5 5600 con 6 núcleos y 12 hilos, diseñado para equipos de alto rendimiento y multitarea.</t>
  </si>
  <si>
    <t>NIT: 900987654-1 / Cra 15 #77-84 Local 3-45 CC Unilago Bogotá / Tel: (601) 7421896</t>
  </si>
  <si>
    <t>AMD</t>
  </si>
  <si>
    <t>Mercado Libre. (s. f.). Procesador gamer Intel Core i5-12400F BX8071512400F de 6 núcleos y 4.4 GHz de frecuencia. Mercado Libre.</t>
  </si>
  <si>
    <t>CPU de gama media con gráficos integrados UHD 730.</t>
  </si>
  <si>
    <t>$258 USD</t>
  </si>
  <si>
    <t>Procesador Intel Core i5-12400 con 6 núcleos y 12 hilos, adecuado para multitarea y desarrollo de software.</t>
  </si>
  <si>
    <t>NIT: 901345678-2 / Cra 15 #78-33 Local 2-12 Centro Comercial de Alta Tecnología Bogotá / Tel: (601) 3219540</t>
  </si>
  <si>
    <t>Intel</t>
  </si>
  <si>
    <t>Mercado Libre. (s. f.). Computer processor Intel Core i3-12100F 12th Gen. Mercado Libre.</t>
  </si>
  <si>
    <t>Procesador de gama básica ideal para desarrollo y tareas de oficina.</t>
  </si>
  <si>
    <t>$183 USD</t>
  </si>
  <si>
    <t>Procesador Intel Core i3-12100 de 4 núcleos y hasta 4.3 GHz, diseñado para computadores de escritorio de trabajo y desarrollo.</t>
  </si>
  <si>
    <r>
      <t>Nº de CUIT, Dirección, Teléfono</t>
    </r>
    <r>
      <rPr>
        <i/>
        <sz val="10"/>
        <color theme="1"/>
        <rFont val="Trebuchet MS"/>
        <family val="2"/>
      </rPr>
      <t xml:space="preserve">
</t>
    </r>
    <r>
      <rPr>
        <i/>
        <sz val="8"/>
        <color theme="1"/>
        <rFont val="Trebuchet MS"/>
        <family val="2"/>
      </rPr>
      <t>(Datos de la empresa)</t>
    </r>
  </si>
  <si>
    <t>Mercado Libre. (s. f.). Teclado cableado 600 diseñado por Microsoft resistente. Mercado Libre.</t>
  </si>
  <si>
    <t>Teclado de oficina con teclas silenciosas.</t>
  </si>
  <si>
    <t>$35 USD</t>
  </si>
  <si>
    <t>Teclado Microsoft Wired Keyboard 600 con conexión USB y diseño ergonómico para uso en computadores de trabajo.</t>
  </si>
  <si>
    <t>Microsoft</t>
  </si>
  <si>
    <t>Mercado Libre. (s. f.). Teclado Redragon Kumara QWERTY Outemu Red español España color negro con luz rainbow. Mercado Libre.</t>
  </si>
  <si>
    <t>Teclado mecánico compacto con alto rendimiento.</t>
  </si>
  <si>
    <t>$52 USD</t>
  </si>
  <si>
    <t>Teclado mecánico Redragon Kumara K552 con iluminación RGB y switches mecánicos para mayor durabilidad.</t>
  </si>
  <si>
    <t>Redragon</t>
  </si>
  <si>
    <t>Mercado Libre. (s. f.). Teclado Logitech QWERTY membrana español color negro. Mercado Libre.</t>
  </si>
  <si>
    <t>Teclado básico ideal para programación y oficina.</t>
  </si>
  <si>
    <t>$18 USD</t>
  </si>
  <si>
    <t>Teclado Logitech K120 con conexión USB, diseño resistente a salpicaduras y teclado numérico completo para uso en computadores de escritorio.</t>
  </si>
  <si>
    <t>Logitech</t>
  </si>
  <si>
    <r>
      <t xml:space="preserve">Importe Total
</t>
    </r>
    <r>
      <rPr>
        <i/>
        <sz val="8"/>
        <color theme="1"/>
        <rFont val="Arial"/>
        <family val="2"/>
      </rPr>
      <t>(moneda extranjera)</t>
    </r>
  </si>
  <si>
    <r>
      <t xml:space="preserve">(a) Se deben presentar tres (3) presupuestos cuando:   
   </t>
    </r>
    <r>
      <rPr>
        <sz val="10"/>
        <color theme="1"/>
        <rFont val="Arial"/>
        <family val="2"/>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b/>
        <sz val="10"/>
        <color theme="1"/>
        <rFont val="Arial"/>
        <family val="2"/>
      </rPr>
      <t>En caso de no contar con tres (3) presupuestos, o no poder seleccionar al proveedor que ofrece menor precio, presentar este cuadro una nota de justificación siguiendo las pautas del ítem    (XX)</t>
    </r>
    <r>
      <rPr>
        <sz val="10"/>
        <color theme="1"/>
        <rFont val="Arial"/>
        <family val="2"/>
      </rPr>
      <t xml:space="preserve">
</t>
    </r>
  </si>
  <si>
    <r>
      <t>(b) Ejemplos:</t>
    </r>
    <r>
      <rPr>
        <sz val="10"/>
        <color theme="1"/>
        <rFont val="Arial"/>
        <family val="2"/>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</si>
  <si>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Links</t>
  </si>
  <si>
    <r>
      <t>Empresa</t>
    </r>
    <r>
      <rPr>
        <i/>
        <sz val="8"/>
        <color theme="1"/>
        <rFont val="Trebuchet MS"/>
        <family val="2"/>
      </rPr>
      <t xml:space="preserve">
(Nombre fiscal de la empresa)</t>
    </r>
  </si>
  <si>
    <r>
      <t>Descripción del
bien/ servicio (b)</t>
    </r>
    <r>
      <rPr>
        <i/>
        <sz val="10"/>
        <color theme="1"/>
        <rFont val="Trebuchet MS"/>
        <family val="2"/>
      </rPr>
      <t xml:space="preserve">
</t>
    </r>
    <r>
      <rPr>
        <i/>
        <sz val="8"/>
        <color theme="1"/>
        <rFont val="Trebuchet MS"/>
        <family val="2"/>
      </rPr>
      <t>Características de los bienes/ servicios</t>
    </r>
  </si>
  <si>
    <r>
      <t xml:space="preserve">Importe Unitario
</t>
    </r>
    <r>
      <rPr>
        <i/>
        <sz val="8"/>
        <color theme="1"/>
        <rFont val="Trebuchet MS"/>
        <family val="2"/>
      </rPr>
      <t>(moneda nacional)</t>
    </r>
  </si>
  <si>
    <r>
      <t xml:space="preserve">Importe Total
 IVA incluido
</t>
    </r>
    <r>
      <rPr>
        <i/>
        <u/>
        <sz val="8"/>
        <color theme="1"/>
        <rFont val="Trebuchet MS"/>
        <family val="2"/>
      </rPr>
      <t>(moneda nacional)</t>
    </r>
  </si>
  <si>
    <r>
      <t xml:space="preserve">Forma de Pago 
</t>
    </r>
    <r>
      <rPr>
        <i/>
        <sz val="8"/>
        <color theme="1"/>
        <rFont val="Trebuchet MS"/>
        <family val="2"/>
      </rPr>
      <t>(Contado o Cheque)</t>
    </r>
  </si>
  <si>
    <r>
      <t xml:space="preserve">Observaciones </t>
    </r>
    <r>
      <rPr>
        <i/>
        <sz val="10"/>
        <color theme="1"/>
        <rFont val="Trebuchet MS"/>
        <family val="2"/>
      </rPr>
      <t xml:space="preserve">
</t>
    </r>
    <r>
      <rPr>
        <i/>
        <sz val="8"/>
        <color theme="1"/>
        <rFont val="Trebuchet MS"/>
        <family val="2"/>
      </rPr>
      <t>(se debe incluir toda aquella característica que no ha sido posible incluir anteriormente)</t>
    </r>
  </si>
  <si>
    <r>
      <t>Empresa</t>
    </r>
    <r>
      <rPr>
        <b/>
        <sz val="8"/>
        <color theme="1"/>
        <rFont val="Trebuchet MS"/>
        <family val="2"/>
      </rPr>
      <t xml:space="preserve">
(Nombre fiscal de la empresa)</t>
    </r>
  </si>
  <si>
    <r>
      <t xml:space="preserve">Nº de CUIT, Dirección, Teléfono
</t>
    </r>
    <r>
      <rPr>
        <b/>
        <sz val="8"/>
        <color theme="1"/>
        <rFont val="Trebuchet MS"/>
        <family val="2"/>
      </rPr>
      <t>(Datos de la empresa)</t>
    </r>
  </si>
  <si>
    <r>
      <t xml:space="preserve">Descripción del
bien/ servicio (b)
</t>
    </r>
    <r>
      <rPr>
        <b/>
        <sz val="8"/>
        <color theme="1"/>
        <rFont val="Trebuchet MS"/>
        <family val="2"/>
      </rPr>
      <t>Características de los bienes/ servicios</t>
    </r>
  </si>
  <si>
    <r>
      <t xml:space="preserve">Importe Unitario
</t>
    </r>
    <r>
      <rPr>
        <b/>
        <sz val="8"/>
        <color theme="1"/>
        <rFont val="Trebuchet MS"/>
        <family val="2"/>
      </rPr>
      <t>(moneda nacional)</t>
    </r>
  </si>
  <si>
    <r>
      <t xml:space="preserve">Importe Total
 IVA incluido
</t>
    </r>
    <r>
      <rPr>
        <b/>
        <u/>
        <sz val="8"/>
        <color theme="1"/>
        <rFont val="Trebuchet MS"/>
        <family val="2"/>
      </rPr>
      <t>(moneda nacional)</t>
    </r>
  </si>
  <si>
    <r>
      <t xml:space="preserve">Importe Total
</t>
    </r>
    <r>
      <rPr>
        <b/>
        <sz val="8"/>
        <color theme="1"/>
        <rFont val="Arial"/>
        <family val="2"/>
      </rPr>
      <t>(moneda extranjera)</t>
    </r>
  </si>
  <si>
    <r>
      <t xml:space="preserve">Forma de Pago 
</t>
    </r>
    <r>
      <rPr>
        <b/>
        <sz val="8"/>
        <color theme="1"/>
        <rFont val="Trebuchet MS"/>
        <family val="2"/>
      </rPr>
      <t>(Contado o Cheque)</t>
    </r>
  </si>
  <si>
    <r>
      <t xml:space="preserve">Observaciones 
</t>
    </r>
    <r>
      <rPr>
        <b/>
        <sz val="8"/>
        <color theme="1"/>
        <rFont val="Trebuchet MS"/>
        <family val="2"/>
      </rPr>
      <t>(se debe incluir toda aquella característica que no ha sido posible incluir anteriormente)</t>
    </r>
  </si>
  <si>
    <t>Consolidado</t>
  </si>
  <si>
    <t>Nosotros</t>
  </si>
  <si>
    <t>Nombres</t>
  </si>
  <si>
    <t>Torre</t>
  </si>
  <si>
    <t>Monitor</t>
  </si>
  <si>
    <t>RAM</t>
  </si>
  <si>
    <t>Servidor</t>
  </si>
  <si>
    <t>Teclado</t>
  </si>
  <si>
    <t>Mouse</t>
  </si>
  <si>
    <t xml:space="preserve">Portatil </t>
  </si>
  <si>
    <t xml:space="preserve">Monitor </t>
  </si>
  <si>
    <t>Disco Mecanico</t>
  </si>
  <si>
    <t>Tarjeta de Video</t>
  </si>
  <si>
    <t>Procesador</t>
  </si>
  <si>
    <t>Disco Solido</t>
  </si>
  <si>
    <t>Disco Duro Interno</t>
  </si>
  <si>
    <t>Admin</t>
  </si>
  <si>
    <t xml:space="preserve">
Calle 26 #69-63, Bogotá</t>
  </si>
  <si>
    <t xml:space="preserve">Calle 170 #64-47 Bogotá / </t>
  </si>
  <si>
    <t xml:space="preserve">
Calle 80 #12-45, Bogotá</t>
  </si>
  <si>
    <t>901456782-3</t>
  </si>
  <si>
    <t>NIT Alkosto , Bogotá</t>
  </si>
  <si>
    <t>890900943-1</t>
  </si>
  <si>
    <t xml:space="preserve">NIT Alkosto </t>
  </si>
  <si>
    <t>NIT , Cali</t>
  </si>
  <si>
    <t xml:space="preserve"> / Dirección: Cra 15 #78-33 Local 275, Centro Comercial Unilago, Bogotá / Tel: 319 557 3937</t>
  </si>
  <si>
    <t>900.270.909-3</t>
  </si>
  <si>
    <t>/ Cra 68B #25B-80 Bogotá / Tel: (601) 4073033</t>
  </si>
  <si>
    <t xml:space="preserve">890900943-1 </t>
  </si>
  <si>
    <t xml:space="preserve"> Cra 15 #78-33 Local 2-12 Centro Comercial de Alta Tecnología Bogotá / Tel: (601) 3219540</t>
  </si>
  <si>
    <t>901345678-2</t>
  </si>
  <si>
    <t>Cra 15 #77-05 Local 204 CC Unilago Bogotá / Tel: (601) 4672626</t>
  </si>
  <si>
    <t>900208309-7</t>
  </si>
  <si>
    <t>Link/Referencia</t>
  </si>
  <si>
    <t>Licencias</t>
  </si>
  <si>
    <t>Software Licencia</t>
  </si>
  <si>
    <t>Licencia Visual</t>
  </si>
  <si>
    <t>Windows 11 Licencia</t>
  </si>
  <si>
    <t>Licencia SQL</t>
  </si>
  <si>
    <t>3.571.605 – 3.901.605 COP</t>
  </si>
  <si>
    <t>4.216.872 – 4.251.872 COP</t>
  </si>
  <si>
    <t xml:space="preserve"> $121 USD</t>
  </si>
  <si>
    <t xml:space="preserve"> $426 USD</t>
  </si>
  <si>
    <t xml:space="preserve"> $65 USD</t>
  </si>
  <si>
    <t xml:space="preserve"> $31-40 USD</t>
  </si>
  <si>
    <t>$1,111.70 – $1,134.70 USD</t>
  </si>
  <si>
    <t>9.385.000 COP</t>
  </si>
  <si>
    <t>4.368.150 COP</t>
  </si>
  <si>
    <t>1,119.9 USD</t>
  </si>
  <si>
    <t>2.585.000 COP</t>
  </si>
  <si>
    <t>3.076.150 COP</t>
  </si>
  <si>
    <t>765.9 USD</t>
  </si>
  <si>
    <t>Con Servidor</t>
  </si>
  <si>
    <t>Sin Servidor</t>
  </si>
  <si>
    <t>834,780 COP</t>
  </si>
  <si>
    <t>983,900 COP</t>
  </si>
  <si>
    <t>240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</si>
</sst>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164" formatCode="&quot;$&quot;\ #,##0;[Red]\-&quot;$&quot;\ #,##0"/>
    <numFmt numFmtId="165" formatCode="_-[$$-409]* #,##0.00_ ;_-[$$-409]* \-#,##0.00\ ;_-[$$-409]* &quot;-&quot;??_ ;_-@_ "/>
    <numFmt numFmtId="166" formatCode="_([$$-409]* #,##0.00_);_([$$-409]* \(#,##0.00\);_([$$-409]* &quot;-&quot;??_);_(@_)"/>
    <numFmt numFmtId="167" formatCode="_-[$$-240A]\ * #,##0.000_-;\-[$$-240A]\ * #,##0.000_-;_-[$$-240A]\ * &quot;-&quot;??.0_-;_-@"/>
    <numFmt numFmtId="168" formatCode="_-[$$-240A]\ * #,##0.00_-;\-[$$-240A]\ * #,##0.00_-;_-[$$-240A]\ * &quot;-&quot;??_-;_-@"/>
  </numFmts>
  <fonts count="57" x14ac:knownFonts="1">
    <font>
      <sz val="10"/>
      <color rgb="FF000000"/>
      <name val="Arial"/>
      <scheme val="minor"/>
    </font>
    <font>
      <sz val="10"/>
      <color theme="1"/>
      <name val="Arial"/>
      <family val="2"/>
    </font>
    <font>
      <i/>
      <sz val="10"/>
      <color theme="1"/>
      <name val="Arial"/>
      <family val="2"/>
    </font>
    <font>
      <sz val="10"/>
      <color theme="1"/>
      <name val="Arial Narrow"/>
      <family val="2"/>
    </font>
    <font>
      <sz val="10"/>
      <color theme="1"/>
      <name val="Arial"/>
      <family val="2"/>
      <scheme val="minor"/>
    </font>
    <font>
      <b/>
      <sz val="13"/>
      <color theme="1"/>
      <name val="Times New Roman"/>
      <family val="1"/>
    </font>
    <font>
      <sz val="13"/>
      <color theme="1"/>
      <name val="Times New Roman"/>
      <family val="1"/>
    </font>
    <font>
      <u/>
      <sz val="13"/>
      <color rgb="FF0000FF"/>
      <name val="Times New Roman"/>
      <family val="1"/>
    </font>
    <font>
      <u/>
      <sz val="13"/>
      <color rgb="FF0000FF"/>
      <name val="Times New Roman"/>
      <family val="1"/>
    </font>
    <font>
      <b/>
      <sz val="12"/>
      <color theme="1"/>
      <name val="Times New Roman"/>
      <family val="1"/>
    </font>
    <font>
      <sz val="12"/>
      <color theme="1"/>
      <name val="Times New Roman"/>
      <family val="1"/>
    </font>
    <font>
      <sz val="12"/>
      <color rgb="FF000000"/>
      <name val="Times New Roman"/>
      <family val="1"/>
    </font>
    <font>
      <sz val="12"/>
      <name val="Times New Roman"/>
      <family val="1"/>
    </font>
    <font>
      <i/>
      <sz val="12"/>
      <color theme="1"/>
      <name val="Times New Roman"/>
      <family val="1"/>
    </font>
    <font>
      <b/>
      <u/>
      <sz val="12"/>
      <color theme="1"/>
      <name val="Times New Roman"/>
      <family val="1"/>
    </font>
    <font>
      <sz val="24"/>
      <color rgb="FF000000"/>
      <name val="Times New Roman"/>
      <family val="1"/>
    </font>
    <font>
      <b/>
      <sz val="24"/>
      <color rgb="FF000000"/>
      <name val="Times New Roman"/>
      <family val="1"/>
    </font>
    <font>
      <u/>
      <sz val="10"/>
      <color theme="10"/>
      <name val="Arial"/>
      <family val="2"/>
      <scheme val="minor"/>
    </font>
    <font>
      <b/>
      <sz val="12"/>
      <color rgb="FF000000"/>
      <name val="Times New Roman"/>
      <family val="1"/>
    </font>
    <font>
      <u/>
      <sz val="12"/>
      <color theme="10"/>
      <name val="Times New Roman"/>
      <family val="1"/>
    </font>
    <font>
      <sz val="10"/>
      <color rgb="FF000000"/>
      <name val="Arial"/>
      <family val="2"/>
      <scheme val="minor"/>
    </font>
    <font>
      <i/>
      <u/>
      <sz val="12"/>
      <color theme="1"/>
      <name val="Times New Roman"/>
      <family val="1"/>
    </font>
    <font>
      <u/>
      <sz val="12"/>
      <color theme="1"/>
      <name val="Times New Roman"/>
      <family val="1"/>
    </font>
    <font>
      <sz val="10"/>
      <name val="Arial"/>
      <family val="2"/>
    </font>
    <font>
      <b/>
      <sz val="10"/>
      <color theme="1"/>
      <name val="Arial"/>
      <family val="2"/>
    </font>
    <font>
      <sz val="10"/>
      <color theme="1"/>
      <name val="Trebuchet MS"/>
      <family val="2"/>
    </font>
    <font>
      <i/>
      <u/>
      <sz val="12"/>
      <color rgb="FF0000FF"/>
      <name val="Times New Roman"/>
      <family val="1"/>
    </font>
    <font>
      <u/>
      <sz val="12"/>
      <color rgb="FF000000"/>
      <name val="Times New Roman"/>
      <family val="1"/>
    </font>
    <font>
      <u/>
      <sz val="12"/>
      <color rgb="FF0000FF"/>
      <name val="Times New Roman"/>
      <family val="1"/>
    </font>
    <font>
      <sz val="12"/>
      <color rgb="FF0F1111"/>
      <name val="Times New Roman"/>
      <family val="1"/>
    </font>
    <font>
      <sz val="12"/>
      <color rgb="FF0000FF"/>
      <name val="Times New Roman"/>
      <family val="1"/>
    </font>
    <font>
      <sz val="12"/>
      <color rgb="FF231F20"/>
      <name val="Times New Roman"/>
      <family val="1"/>
    </font>
    <font>
      <b/>
      <sz val="10"/>
      <color theme="1"/>
      <name val="Trebuchet MS"/>
      <family val="2"/>
    </font>
    <font>
      <i/>
      <sz val="10"/>
      <color theme="1"/>
      <name val="Trebuchet MS"/>
      <family val="2"/>
    </font>
    <font>
      <i/>
      <sz val="8"/>
      <color theme="1"/>
      <name val="Trebuchet MS"/>
      <family val="2"/>
    </font>
    <font>
      <i/>
      <sz val="8"/>
      <color theme="1"/>
      <name val="Arial"/>
      <family val="2"/>
    </font>
    <font>
      <b/>
      <u/>
      <sz val="10"/>
      <color theme="1"/>
      <name val="Trebuchet MS"/>
      <family val="2"/>
    </font>
    <font>
      <i/>
      <u/>
      <sz val="8"/>
      <color theme="1"/>
      <name val="Trebuchet MS"/>
      <family val="2"/>
    </font>
    <font>
      <b/>
      <sz val="12"/>
      <color theme="1"/>
      <name val="Arial"/>
      <family val="2"/>
    </font>
    <font>
      <b/>
      <sz val="10"/>
      <color theme="1"/>
      <name val="Arial"/>
      <family val="2"/>
      <scheme val="minor"/>
    </font>
    <font>
      <b/>
      <i/>
      <sz val="8"/>
      <color theme="1"/>
      <name val="Arial"/>
      <family val="2"/>
    </font>
    <font>
      <b/>
      <i/>
      <sz val="12"/>
      <color theme="1"/>
      <name val="Times New Roman"/>
      <family val="1"/>
    </font>
    <font>
      <b/>
      <i/>
      <u/>
      <sz val="12"/>
      <color theme="1"/>
      <name val="Times New Roman"/>
      <family val="1"/>
    </font>
    <font>
      <b/>
      <sz val="12"/>
      <name val="Times New Roman"/>
      <family val="1"/>
    </font>
    <font>
      <b/>
      <sz val="10"/>
      <color rgb="FF000000"/>
      <name val="Arial"/>
      <family val="2"/>
      <scheme val="minor"/>
    </font>
    <font>
      <sz val="10"/>
      <color rgb="FF000000"/>
      <name val="Arial"/>
      <family val="2"/>
    </font>
    <font>
      <u/>
      <sz val="10"/>
      <color theme="1"/>
      <name val="Arial"/>
      <family val="2"/>
    </font>
    <font>
      <sz val="10"/>
      <color rgb="FF333333"/>
      <name val="Arial"/>
      <family val="2"/>
    </font>
    <font>
      <sz val="10"/>
      <color rgb="FF4A4A4A"/>
      <name val="Arial"/>
      <family val="2"/>
    </font>
    <font>
      <sz val="10"/>
      <color rgb="FF444444"/>
      <name val="Arial"/>
      <family val="2"/>
    </font>
    <font>
      <sz val="10"/>
      <color rgb="FF231F20"/>
      <name val="Arial"/>
      <family val="2"/>
    </font>
    <font>
      <b/>
      <sz val="8"/>
      <color theme="1"/>
      <name val="Trebuchet MS"/>
      <family val="2"/>
    </font>
    <font>
      <b/>
      <u/>
      <sz val="8"/>
      <color theme="1"/>
      <name val="Trebuchet MS"/>
      <family val="2"/>
    </font>
    <font>
      <b/>
      <sz val="8"/>
      <color theme="1"/>
      <name val="Arial"/>
      <family val="2"/>
    </font>
    <font>
      <sz val="12"/>
      <color theme="1"/>
      <name val="Arial"/>
      <family val="2"/>
      <scheme val="minor"/>
    </font>
    <font>
      <sz val="12"/>
      <color theme="1"/>
      <name val="Arial"/>
      <family val="2"/>
    </font>
    <font>
      <u/>
      <sz val="12"/>
      <color theme="1"/>
      <name val="Arial"/>
      <family val="2"/>
    </font>
  </fonts>
  <fills count="15">
    <fill>
      <patternFill patternType="none"/>
    </fill>
    <fill>
      <patternFill patternType="gray125"/>
    </fill>
    <fill>
      <patternFill patternType="solid">
        <fgColor rgb="FF6AA84F"/>
        <bgColor rgb="FF6AA84F"/>
      </patternFill>
    </fill>
    <fill>
      <patternFill patternType="solid">
        <fgColor rgb="FFC0C0C0"/>
        <bgColor rgb="FFC0C0C0"/>
      </patternFill>
    </fill>
    <fill>
      <patternFill patternType="solid">
        <fgColor rgb="FFFFFF99"/>
        <bgColor rgb="FFFFFF99"/>
      </patternFill>
    </fill>
    <fill>
      <patternFill patternType="solid">
        <fgColor theme="9"/>
        <bgColor indexed="64"/>
      </patternFill>
    </fill>
    <fill>
      <patternFill patternType="solid">
        <fgColor theme="6"/>
        <bgColor indexed="64"/>
      </patternFill>
    </fill>
    <fill>
      <patternFill patternType="solid">
        <fgColor rgb="FFFFFFFF"/>
        <bgColor rgb="FFFFFFFF"/>
      </patternFill>
    </fill>
    <fill>
      <patternFill patternType="solid">
        <fgColor rgb="FFCCFFCC"/>
        <bgColor rgb="FFCCFFCC"/>
      </patternFill>
    </fill>
    <fill>
      <patternFill patternType="solid">
        <fgColor rgb="FFFFCC00"/>
        <bgColor rgb="FFFFCC00"/>
      </patternFill>
    </fill>
    <fill>
      <patternFill patternType="solid">
        <fgColor rgb="FFF5F5F5"/>
        <bgColor rgb="FFF5F5F5"/>
      </patternFill>
    </fill>
    <fill>
      <patternFill patternType="solid">
        <fgColor theme="6"/>
        <bgColor rgb="FFC0C0C0"/>
      </patternFill>
    </fill>
    <fill>
      <patternFill patternType="solid">
        <fgColor theme="4" tint="0.39997558519241921"/>
        <bgColor rgb="FFC0C0C0"/>
      </patternFill>
    </fill>
    <fill>
      <patternFill patternType="solid">
        <fgColor rgb="FFFFC000"/>
        <bgColor rgb="FFC0C0C0"/>
      </patternFill>
    </fill>
    <fill>
      <patternFill patternType="solid">
        <fgColor theme="8"/>
        <bgColor indexed="64"/>
      </patternFill>
    </fill>
  </fills>
  <borders count="1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s>
  <cellStyleXfs count="3">
    <xf numFmtId="0" fontId="0" fillId="0" borderId="0"/>
    <xf numFmtId="0" fontId="17" fillId="0" borderId="0" applyNumberFormat="0" applyFill="0" applyBorder="0" applyAlignment="0" applyProtection="0"/>
    <xf numFmtId="0" fontId="20" fillId="0" borderId="0"/>
  </cellStyleXfs>
  <cellXfs count="281">
    <xf numFmtId="0" fontId="0" fillId="0" borderId="0" xfId="0" applyFont="1" applyAlignment="1"/>
    <xf numFmtId="0" fontId="1" fillId="0" borderId="0" xfId="0" applyFont="1"/>
    <xf numFmtId="0" fontId="2" fillId="0" borderId="0" xfId="0" applyFont="1" applyAlignment="1">
      <alignment horizontal="center" vertical="center"/>
    </xf>
    <xf numFmtId="0" fontId="3" fillId="0" borderId="0" xfId="0" applyFont="1" applyAlignment="1">
      <alignment horizontal="center" vertical="center" wrapText="1"/>
    </xf>
    <xf numFmtId="0" fontId="5" fillId="0" borderId="0" xfId="0" applyFont="1" applyAlignment="1"/>
    <xf numFmtId="0" fontId="6" fillId="0" borderId="0" xfId="0" applyFont="1"/>
    <xf numFmtId="0" fontId="6" fillId="0" borderId="0" xfId="0" applyFont="1" applyAlignment="1"/>
    <xf numFmtId="0" fontId="7" fillId="0" borderId="0" xfId="0" applyFont="1" applyAlignment="1"/>
    <xf numFmtId="0" fontId="8" fillId="0" borderId="0" xfId="0" applyFont="1" applyAlignment="1"/>
    <xf numFmtId="0" fontId="0" fillId="0" borderId="0" xfId="0" applyFont="1" applyAlignment="1"/>
    <xf numFmtId="0" fontId="10" fillId="0" borderId="0" xfId="0" applyFont="1"/>
    <xf numFmtId="0" fontId="11" fillId="0" borderId="0" xfId="0" applyFont="1" applyAlignment="1"/>
    <xf numFmtId="0" fontId="13" fillId="0" borderId="0" xfId="0" applyFont="1" applyAlignment="1">
      <alignment horizontal="center" vertical="center"/>
    </xf>
    <xf numFmtId="0" fontId="10" fillId="0" borderId="4" xfId="0" applyFont="1" applyBorder="1"/>
    <xf numFmtId="0" fontId="10" fillId="0" borderId="6" xfId="0" applyFont="1" applyBorder="1" applyAlignment="1">
      <alignment horizontal="left" vertical="top" wrapText="1"/>
    </xf>
    <xf numFmtId="0" fontId="10" fillId="0" borderId="0" xfId="0" applyFont="1" applyAlignment="1">
      <alignment horizontal="center" vertical="center" wrapText="1"/>
    </xf>
    <xf numFmtId="0" fontId="18" fillId="0" borderId="7" xfId="0" applyFont="1" applyBorder="1" applyAlignment="1">
      <alignment horizontal="left" vertical="center" wrapText="1"/>
    </xf>
    <xf numFmtId="0" fontId="11" fillId="0" borderId="7" xfId="0" applyFont="1" applyBorder="1" applyAlignment="1">
      <alignment horizontal="left" vertical="center" wrapText="1"/>
    </xf>
    <xf numFmtId="8" fontId="11" fillId="0" borderId="7" xfId="0" applyNumberFormat="1" applyFont="1" applyBorder="1" applyAlignment="1">
      <alignment horizontal="left" vertical="center" wrapText="1"/>
    </xf>
    <xf numFmtId="6" fontId="11" fillId="0" borderId="7" xfId="0" applyNumberFormat="1" applyFont="1" applyBorder="1" applyAlignment="1">
      <alignment horizontal="left" vertical="center" wrapText="1"/>
    </xf>
    <xf numFmtId="0" fontId="19" fillId="0" borderId="7" xfId="1" applyFont="1" applyBorder="1" applyAlignment="1">
      <alignment horizontal="left" vertical="center" wrapText="1"/>
    </xf>
    <xf numFmtId="0" fontId="18" fillId="5" borderId="7" xfId="0" applyFont="1" applyFill="1" applyBorder="1" applyAlignment="1">
      <alignment horizontal="left" vertical="center" wrapText="1"/>
    </xf>
    <xf numFmtId="0" fontId="9" fillId="4" borderId="5" xfId="0" applyFont="1" applyFill="1" applyBorder="1" applyAlignment="1">
      <alignment horizontal="center" vertical="center" wrapText="1"/>
    </xf>
    <xf numFmtId="0" fontId="9" fillId="0" borderId="5" xfId="0" applyFont="1" applyBorder="1" applyAlignment="1">
      <alignment horizontal="center" vertical="center"/>
    </xf>
    <xf numFmtId="0" fontId="18" fillId="6" borderId="7" xfId="0" applyFont="1" applyFill="1" applyBorder="1" applyAlignment="1">
      <alignment horizontal="left" vertical="center" wrapText="1"/>
    </xf>
    <xf numFmtId="0" fontId="15" fillId="2" borderId="0" xfId="0" applyFont="1" applyFill="1" applyAlignment="1">
      <alignment horizontal="center" vertical="center"/>
    </xf>
    <xf numFmtId="0" fontId="16" fillId="2" borderId="0" xfId="0" applyFont="1" applyFill="1" applyAlignment="1">
      <alignment horizontal="center" vertical="center"/>
    </xf>
    <xf numFmtId="0" fontId="9" fillId="0" borderId="1" xfId="0" applyFont="1" applyBorder="1" applyAlignment="1">
      <alignment horizontal="left" vertical="center" wrapText="1"/>
    </xf>
    <xf numFmtId="0" fontId="12" fillId="0" borderId="2" xfId="0" applyFont="1" applyBorder="1"/>
    <xf numFmtId="0" fontId="12" fillId="0" borderId="3" xfId="0" applyFont="1" applyBorder="1"/>
    <xf numFmtId="0" fontId="9" fillId="0" borderId="7" xfId="0" applyFont="1" applyBorder="1" applyAlignment="1">
      <alignment horizontal="center" vertical="center"/>
    </xf>
    <xf numFmtId="0" fontId="9" fillId="3" borderId="7" xfId="0" applyFont="1" applyFill="1" applyBorder="1" applyAlignment="1">
      <alignment horizontal="center" vertical="center" wrapText="1"/>
    </xf>
    <xf numFmtId="0" fontId="20" fillId="0" borderId="0" xfId="2" applyFont="1" applyAlignment="1"/>
    <xf numFmtId="0" fontId="11" fillId="0" borderId="0" xfId="2" applyFont="1" applyAlignment="1">
      <alignment horizontal="left" vertical="center"/>
    </xf>
    <xf numFmtId="0" fontId="10" fillId="0" borderId="0" xfId="2" applyFont="1" applyAlignment="1">
      <alignment horizontal="left" vertical="center"/>
    </xf>
    <xf numFmtId="0" fontId="10" fillId="0" borderId="0" xfId="2" applyFont="1" applyAlignment="1">
      <alignment horizontal="left" vertical="center" wrapText="1"/>
    </xf>
    <xf numFmtId="0" fontId="12" fillId="0" borderId="3" xfId="2" applyFont="1" applyBorder="1" applyAlignment="1">
      <alignment horizontal="left" vertical="center"/>
    </xf>
    <xf numFmtId="0" fontId="12" fillId="0" borderId="2" xfId="2" applyFont="1" applyBorder="1" applyAlignment="1">
      <alignment horizontal="left" vertical="center"/>
    </xf>
    <xf numFmtId="0" fontId="9" fillId="0" borderId="5" xfId="2" applyFont="1" applyBorder="1" applyAlignment="1">
      <alignment horizontal="left" vertical="center" wrapText="1"/>
    </xf>
    <xf numFmtId="0" fontId="10" fillId="0" borderId="6" xfId="2" applyFont="1" applyBorder="1" applyAlignment="1">
      <alignment horizontal="left" vertical="center" wrapText="1"/>
    </xf>
    <xf numFmtId="0" fontId="10" fillId="0" borderId="4" xfId="2" applyFont="1" applyBorder="1" applyAlignment="1">
      <alignment horizontal="left" vertical="center"/>
    </xf>
    <xf numFmtId="0" fontId="11" fillId="0" borderId="7" xfId="2" applyFont="1" applyBorder="1" applyAlignment="1">
      <alignment horizontal="left" vertical="center" wrapText="1"/>
    </xf>
    <xf numFmtId="0" fontId="9" fillId="0" borderId="5" xfId="2" applyFont="1" applyBorder="1" applyAlignment="1">
      <alignment horizontal="left" vertical="center"/>
    </xf>
    <xf numFmtId="0" fontId="10" fillId="7" borderId="7" xfId="2" applyFont="1" applyFill="1" applyBorder="1" applyAlignment="1">
      <alignment horizontal="left" vertical="center" wrapText="1"/>
    </xf>
    <xf numFmtId="0" fontId="10" fillId="0" borderId="7" xfId="2" applyFont="1" applyBorder="1" applyAlignment="1">
      <alignment horizontal="left" vertical="center" wrapText="1"/>
    </xf>
    <xf numFmtId="0" fontId="2" fillId="0" borderId="0" xfId="2" applyFont="1" applyAlignment="1">
      <alignment horizontal="center" vertical="center"/>
    </xf>
    <xf numFmtId="0" fontId="9" fillId="0" borderId="8" xfId="2" applyFont="1" applyBorder="1" applyAlignment="1">
      <alignment horizontal="left" vertical="center"/>
    </xf>
    <xf numFmtId="0" fontId="9" fillId="0" borderId="9" xfId="2" applyFont="1" applyBorder="1" applyAlignment="1">
      <alignment horizontal="left" vertical="center" wrapText="1"/>
    </xf>
    <xf numFmtId="0" fontId="9" fillId="0" borderId="10" xfId="2" applyFont="1" applyBorder="1" applyAlignment="1">
      <alignment horizontal="left" vertical="center" wrapText="1"/>
    </xf>
    <xf numFmtId="0" fontId="9" fillId="8" borderId="9" xfId="2" applyFont="1" applyFill="1" applyBorder="1" applyAlignment="1">
      <alignment horizontal="left" vertical="center" wrapText="1"/>
    </xf>
    <xf numFmtId="0" fontId="14" fillId="9" borderId="10" xfId="2" applyFont="1" applyFill="1" applyBorder="1" applyAlignment="1">
      <alignment horizontal="left" vertical="center" wrapText="1"/>
    </xf>
    <xf numFmtId="0" fontId="9" fillId="4" borderId="4" xfId="2" applyFont="1" applyFill="1" applyBorder="1" applyAlignment="1">
      <alignment horizontal="left" vertical="center" wrapText="1"/>
    </xf>
    <xf numFmtId="0" fontId="9" fillId="3" borderId="0" xfId="2" applyFont="1" applyFill="1" applyBorder="1" applyAlignment="1">
      <alignment horizontal="center" vertical="center" wrapText="1"/>
    </xf>
    <xf numFmtId="0" fontId="9" fillId="3" borderId="11" xfId="2" applyFont="1" applyFill="1" applyBorder="1" applyAlignment="1">
      <alignment horizontal="center" vertical="center" wrapText="1"/>
    </xf>
    <xf numFmtId="0" fontId="9" fillId="0" borderId="7" xfId="2" applyFont="1" applyBorder="1" applyAlignment="1">
      <alignment horizontal="center" vertical="center" wrapText="1"/>
    </xf>
    <xf numFmtId="0" fontId="1" fillId="0" borderId="0" xfId="2" applyFont="1"/>
    <xf numFmtId="0" fontId="3" fillId="0" borderId="0" xfId="2" applyFont="1" applyAlignment="1">
      <alignment horizontal="center" vertical="center" wrapText="1"/>
    </xf>
    <xf numFmtId="0" fontId="10" fillId="0" borderId="3" xfId="2" applyFont="1" applyBorder="1" applyAlignment="1">
      <alignment horizontal="left" vertical="center"/>
    </xf>
    <xf numFmtId="0" fontId="10" fillId="0" borderId="2" xfId="2" applyFont="1" applyBorder="1" applyAlignment="1">
      <alignment horizontal="left" vertical="center"/>
    </xf>
    <xf numFmtId="0" fontId="10" fillId="0" borderId="6" xfId="2" applyFont="1" applyBorder="1" applyAlignment="1">
      <alignment horizontal="left" vertical="center"/>
    </xf>
    <xf numFmtId="0" fontId="22" fillId="0" borderId="7" xfId="1" applyFont="1" applyBorder="1" applyAlignment="1">
      <alignment horizontal="left" vertical="center" wrapText="1"/>
    </xf>
    <xf numFmtId="0" fontId="10" fillId="10" borderId="7" xfId="2" applyFont="1" applyFill="1" applyBorder="1" applyAlignment="1">
      <alignment horizontal="left" vertical="center" wrapText="1"/>
    </xf>
    <xf numFmtId="165" fontId="22" fillId="7" borderId="7" xfId="2" applyNumberFormat="1" applyFont="1" applyFill="1" applyBorder="1" applyAlignment="1">
      <alignment horizontal="left" vertical="center" wrapText="1"/>
    </xf>
    <xf numFmtId="166" fontId="10" fillId="0" borderId="7" xfId="2" applyNumberFormat="1" applyFont="1" applyBorder="1" applyAlignment="1">
      <alignment horizontal="left" vertical="center" wrapText="1"/>
    </xf>
    <xf numFmtId="8" fontId="10" fillId="0" borderId="7" xfId="2" applyNumberFormat="1" applyFont="1" applyBorder="1" applyAlignment="1">
      <alignment horizontal="left" vertical="center" wrapText="1"/>
    </xf>
    <xf numFmtId="6" fontId="10" fillId="0" borderId="7" xfId="2" applyNumberFormat="1" applyFont="1" applyBorder="1" applyAlignment="1">
      <alignment horizontal="left" vertical="center" wrapText="1"/>
    </xf>
    <xf numFmtId="0" fontId="22" fillId="0" borderId="7" xfId="2" applyFont="1" applyBorder="1" applyAlignment="1">
      <alignment horizontal="left" vertical="center" wrapText="1"/>
    </xf>
    <xf numFmtId="0" fontId="9" fillId="0" borderId="7" xfId="2" applyFont="1" applyBorder="1" applyAlignment="1">
      <alignment horizontal="left" vertical="center" wrapText="1"/>
    </xf>
    <xf numFmtId="0" fontId="10" fillId="0" borderId="7" xfId="2" applyFont="1" applyBorder="1" applyAlignment="1">
      <alignment horizontal="left" vertical="center"/>
    </xf>
    <xf numFmtId="0" fontId="22" fillId="7" borderId="7" xfId="2" applyFont="1" applyFill="1" applyBorder="1" applyAlignment="1">
      <alignment horizontal="left" vertical="center" wrapText="1"/>
    </xf>
    <xf numFmtId="0" fontId="13" fillId="0" borderId="0" xfId="2" applyFont="1" applyAlignment="1">
      <alignment horizontal="left" vertical="center"/>
    </xf>
    <xf numFmtId="0" fontId="9" fillId="0" borderId="7" xfId="2" applyFont="1" applyBorder="1" applyAlignment="1">
      <alignment horizontal="left" vertical="center"/>
    </xf>
    <xf numFmtId="0" fontId="9" fillId="8" borderId="7" xfId="2" applyFont="1" applyFill="1" applyBorder="1" applyAlignment="1">
      <alignment horizontal="left" vertical="center" wrapText="1"/>
    </xf>
    <xf numFmtId="0" fontId="14" fillId="9" borderId="7" xfId="2" applyFont="1" applyFill="1" applyBorder="1" applyAlignment="1">
      <alignment horizontal="left" vertical="center" wrapText="1"/>
    </xf>
    <xf numFmtId="0" fontId="9" fillId="4" borderId="7" xfId="2" applyFont="1" applyFill="1" applyBorder="1" applyAlignment="1">
      <alignment horizontal="left" vertical="center" wrapText="1"/>
    </xf>
    <xf numFmtId="0" fontId="9" fillId="3" borderId="7" xfId="2" applyFont="1" applyFill="1" applyBorder="1" applyAlignment="1">
      <alignment horizontal="center" vertical="center" wrapText="1"/>
    </xf>
    <xf numFmtId="0" fontId="11" fillId="0" borderId="0" xfId="2" applyFont="1" applyAlignment="1"/>
    <xf numFmtId="0" fontId="10" fillId="0" borderId="7" xfId="2" applyFont="1" applyBorder="1" applyAlignment="1">
      <alignment horizontal="left" vertical="center" wrapText="1"/>
    </xf>
    <xf numFmtId="3" fontId="10" fillId="0" borderId="7" xfId="2" applyNumberFormat="1" applyFont="1" applyBorder="1" applyAlignment="1">
      <alignment horizontal="left" vertical="center" wrapText="1"/>
    </xf>
    <xf numFmtId="0" fontId="9" fillId="0" borderId="0" xfId="2" applyFont="1" applyAlignment="1">
      <alignment horizontal="center" vertical="center" wrapText="1"/>
    </xf>
    <xf numFmtId="0" fontId="12" fillId="0" borderId="0" xfId="2" applyFont="1" applyBorder="1" applyAlignment="1">
      <alignment horizontal="left" vertical="center"/>
    </xf>
    <xf numFmtId="0" fontId="10" fillId="0" borderId="0" xfId="2" applyFont="1" applyBorder="1" applyAlignment="1">
      <alignment horizontal="left" vertical="center" wrapText="1"/>
    </xf>
    <xf numFmtId="164" fontId="10" fillId="0" borderId="7" xfId="2" applyNumberFormat="1" applyFont="1" applyBorder="1" applyAlignment="1">
      <alignment horizontal="left" vertical="center"/>
    </xf>
    <xf numFmtId="0" fontId="22" fillId="7" borderId="7" xfId="1" applyFont="1" applyFill="1" applyBorder="1" applyAlignment="1">
      <alignment horizontal="left" vertical="center" wrapText="1"/>
    </xf>
    <xf numFmtId="0" fontId="13" fillId="0" borderId="0" xfId="2" applyFont="1" applyAlignment="1">
      <alignment horizontal="center" vertical="center"/>
    </xf>
    <xf numFmtId="0" fontId="10" fillId="8" borderId="7" xfId="2" applyFont="1" applyFill="1" applyBorder="1" applyAlignment="1">
      <alignment horizontal="left" vertical="center" wrapText="1"/>
    </xf>
    <xf numFmtId="0" fontId="22" fillId="9" borderId="7" xfId="2" applyFont="1" applyFill="1" applyBorder="1" applyAlignment="1">
      <alignment horizontal="left" vertical="center" wrapText="1"/>
    </xf>
    <xf numFmtId="0" fontId="10" fillId="4" borderId="7" xfId="2" applyFont="1" applyFill="1" applyBorder="1" applyAlignment="1">
      <alignment horizontal="left" vertical="center" wrapText="1"/>
    </xf>
    <xf numFmtId="0" fontId="23" fillId="0" borderId="3" xfId="2" applyFont="1" applyBorder="1"/>
    <xf numFmtId="0" fontId="23" fillId="0" borderId="2" xfId="2" applyFont="1" applyBorder="1"/>
    <xf numFmtId="0" fontId="24" fillId="0" borderId="5" xfId="2" applyFont="1" applyBorder="1" applyAlignment="1">
      <alignment horizontal="left" vertical="center" wrapText="1"/>
    </xf>
    <xf numFmtId="0" fontId="25" fillId="0" borderId="6" xfId="2" applyFont="1" applyBorder="1" applyAlignment="1">
      <alignment horizontal="left" vertical="top" wrapText="1"/>
    </xf>
    <xf numFmtId="0" fontId="1" fillId="0" borderId="4" xfId="2" applyFont="1" applyBorder="1"/>
    <xf numFmtId="0" fontId="26" fillId="0" borderId="4" xfId="2" applyFont="1" applyBorder="1" applyAlignment="1">
      <alignment horizontal="left" vertical="center" wrapText="1"/>
    </xf>
    <xf numFmtId="0" fontId="11" fillId="0" borderId="4" xfId="2" applyFont="1" applyBorder="1" applyAlignment="1">
      <alignment horizontal="left" vertical="center" wrapText="1"/>
    </xf>
    <xf numFmtId="166" fontId="10" fillId="0" borderId="4" xfId="2" applyNumberFormat="1" applyFont="1" applyBorder="1" applyAlignment="1">
      <alignment horizontal="right" vertical="center" wrapText="1"/>
    </xf>
    <xf numFmtId="167" fontId="11" fillId="0" borderId="4" xfId="2" applyNumberFormat="1" applyFont="1" applyBorder="1" applyAlignment="1">
      <alignment horizontal="right" vertical="center" wrapText="1"/>
    </xf>
    <xf numFmtId="167" fontId="11" fillId="7" borderId="4" xfId="2" applyNumberFormat="1" applyFont="1" applyFill="1" applyBorder="1" applyAlignment="1">
      <alignment horizontal="right" vertical="center" wrapText="1"/>
    </xf>
    <xf numFmtId="0" fontId="28" fillId="0" borderId="4" xfId="2" applyFont="1" applyBorder="1" applyAlignment="1">
      <alignment horizontal="left" vertical="center" wrapText="1"/>
    </xf>
    <xf numFmtId="0" fontId="24" fillId="0" borderId="4" xfId="2" applyFont="1" applyBorder="1" applyAlignment="1">
      <alignment horizontal="center" vertical="center" wrapText="1"/>
    </xf>
    <xf numFmtId="0" fontId="30" fillId="0" borderId="4" xfId="2" applyFont="1" applyBorder="1" applyAlignment="1">
      <alignment horizontal="left" vertical="center" wrapText="1"/>
    </xf>
    <xf numFmtId="0" fontId="31" fillId="0" borderId="4" xfId="2" applyFont="1" applyBorder="1" applyAlignment="1">
      <alignment horizontal="left" vertical="center" wrapText="1"/>
    </xf>
    <xf numFmtId="0" fontId="27" fillId="0" borderId="4" xfId="2" applyFont="1" applyBorder="1" applyAlignment="1">
      <alignment horizontal="left" vertical="center" wrapText="1"/>
    </xf>
    <xf numFmtId="0" fontId="32" fillId="0" borderId="4" xfId="2" applyFont="1" applyBorder="1" applyAlignment="1">
      <alignment horizontal="center" vertical="center" wrapText="1"/>
    </xf>
    <xf numFmtId="0" fontId="24" fillId="8" borderId="4" xfId="2" applyFont="1" applyFill="1" applyBorder="1" applyAlignment="1">
      <alignment horizontal="center" vertical="center" wrapText="1"/>
    </xf>
    <xf numFmtId="0" fontId="36" fillId="9" borderId="4" xfId="2" applyFont="1" applyFill="1" applyBorder="1" applyAlignment="1">
      <alignment horizontal="center" vertical="center" wrapText="1"/>
    </xf>
    <xf numFmtId="0" fontId="24" fillId="4" borderId="4" xfId="2" applyFont="1" applyFill="1" applyBorder="1" applyAlignment="1">
      <alignment horizontal="center" vertical="center" wrapText="1"/>
    </xf>
    <xf numFmtId="0" fontId="38" fillId="3" borderId="5" xfId="2" applyFont="1" applyFill="1" applyBorder="1" applyAlignment="1">
      <alignment horizontal="center" vertical="center" wrapText="1"/>
    </xf>
    <xf numFmtId="0" fontId="20" fillId="0" borderId="0" xfId="2" applyFont="1" applyAlignment="1"/>
    <xf numFmtId="0" fontId="38" fillId="0" borderId="0" xfId="2" applyFont="1" applyAlignment="1">
      <alignment horizontal="center" vertical="center"/>
    </xf>
    <xf numFmtId="0" fontId="24" fillId="0" borderId="5" xfId="2" applyFont="1" applyBorder="1" applyAlignment="1">
      <alignment wrapText="1"/>
    </xf>
    <xf numFmtId="0" fontId="1" fillId="0" borderId="0" xfId="2" applyFont="1" applyAlignment="1"/>
    <xf numFmtId="0" fontId="10" fillId="0" borderId="4" xfId="2" applyFont="1" applyBorder="1" applyAlignment="1">
      <alignment horizontal="left" vertical="center" wrapText="1"/>
    </xf>
    <xf numFmtId="165" fontId="10" fillId="0" borderId="4" xfId="2" applyNumberFormat="1" applyFont="1" applyBorder="1" applyAlignment="1">
      <alignment horizontal="right" vertical="center" wrapText="1"/>
    </xf>
    <xf numFmtId="168" fontId="10" fillId="0" borderId="4" xfId="2" applyNumberFormat="1" applyFont="1" applyBorder="1" applyAlignment="1">
      <alignment horizontal="right" vertical="center" wrapText="1"/>
    </xf>
    <xf numFmtId="0" fontId="39" fillId="0" borderId="4" xfId="2" applyFont="1" applyBorder="1" applyAlignment="1">
      <alignment horizontal="center" vertical="center"/>
    </xf>
    <xf numFmtId="166" fontId="24" fillId="8" borderId="4" xfId="2" applyNumberFormat="1" applyFont="1" applyFill="1" applyBorder="1" applyAlignment="1">
      <alignment horizontal="center" vertical="center" wrapText="1"/>
    </xf>
    <xf numFmtId="0" fontId="38" fillId="3" borderId="5" xfId="2" applyFont="1" applyFill="1" applyBorder="1" applyAlignment="1">
      <alignment horizontal="center" wrapText="1"/>
    </xf>
    <xf numFmtId="0" fontId="38" fillId="0" borderId="0" xfId="2" applyFont="1" applyAlignment="1">
      <alignment horizontal="center"/>
    </xf>
    <xf numFmtId="165" fontId="10" fillId="0" borderId="4" xfId="2" applyNumberFormat="1" applyFont="1" applyBorder="1" applyAlignment="1">
      <alignment horizontal="left" vertical="center" wrapText="1"/>
    </xf>
    <xf numFmtId="167" fontId="10" fillId="0" borderId="4" xfId="2" applyNumberFormat="1" applyFont="1" applyBorder="1" applyAlignment="1">
      <alignment horizontal="right" vertical="center" wrapText="1"/>
    </xf>
    <xf numFmtId="167" fontId="10" fillId="7" borderId="4" xfId="2" applyNumberFormat="1" applyFont="1" applyFill="1" applyBorder="1" applyAlignment="1">
      <alignment horizontal="right" vertical="center" wrapText="1"/>
    </xf>
    <xf numFmtId="0" fontId="10" fillId="7" borderId="4" xfId="2" applyFont="1" applyFill="1" applyBorder="1" applyAlignment="1">
      <alignment horizontal="left" vertical="center" wrapText="1"/>
    </xf>
    <xf numFmtId="0" fontId="39" fillId="0" borderId="4" xfId="2" applyFont="1" applyBorder="1" applyAlignment="1">
      <alignment horizontal="center" vertical="center" wrapText="1"/>
    </xf>
    <xf numFmtId="0" fontId="24" fillId="0" borderId="0" xfId="2" applyFont="1" applyAlignment="1"/>
    <xf numFmtId="0" fontId="11" fillId="7" borderId="3" xfId="2" applyFont="1" applyFill="1" applyBorder="1" applyAlignment="1">
      <alignment horizontal="left" vertical="center" wrapText="1"/>
    </xf>
    <xf numFmtId="165" fontId="27" fillId="7" borderId="5" xfId="2" applyNumberFormat="1" applyFont="1" applyFill="1" applyBorder="1" applyAlignment="1">
      <alignment horizontal="right" vertical="center" wrapText="1"/>
    </xf>
    <xf numFmtId="0" fontId="24" fillId="0" borderId="5" xfId="2" applyFont="1" applyBorder="1" applyAlignment="1">
      <alignment horizontal="center" vertical="center" wrapText="1"/>
    </xf>
    <xf numFmtId="0" fontId="29" fillId="7" borderId="3" xfId="2" applyFont="1" applyFill="1" applyBorder="1" applyAlignment="1">
      <alignment horizontal="left" vertical="center" wrapText="1"/>
    </xf>
    <xf numFmtId="0" fontId="2" fillId="0" borderId="4" xfId="2" applyFont="1" applyBorder="1" applyAlignment="1">
      <alignment horizontal="center" vertical="center" wrapText="1"/>
    </xf>
    <xf numFmtId="0" fontId="32" fillId="0" borderId="10" xfId="2" applyFont="1" applyBorder="1" applyAlignment="1">
      <alignment horizontal="center" vertical="center" wrapText="1"/>
    </xf>
    <xf numFmtId="0" fontId="24" fillId="8" borderId="9" xfId="2" applyFont="1" applyFill="1" applyBorder="1" applyAlignment="1">
      <alignment horizontal="center" vertical="center" wrapText="1"/>
    </xf>
    <xf numFmtId="0" fontId="36" fillId="9" borderId="10" xfId="2" applyFont="1" applyFill="1" applyBorder="1" applyAlignment="1">
      <alignment horizontal="center" vertical="center" wrapText="1"/>
    </xf>
    <xf numFmtId="0" fontId="20" fillId="0" borderId="0" xfId="2"/>
    <xf numFmtId="0" fontId="19" fillId="0" borderId="0" xfId="1" applyFont="1" applyAlignment="1">
      <alignment horizontal="left" vertical="center"/>
    </xf>
    <xf numFmtId="0" fontId="11" fillId="0" borderId="0" xfId="2" applyFont="1"/>
    <xf numFmtId="0" fontId="10" fillId="0" borderId="5" xfId="2" applyFont="1" applyBorder="1" applyAlignment="1">
      <alignment horizontal="left" vertical="center" wrapText="1"/>
    </xf>
    <xf numFmtId="0" fontId="11" fillId="0" borderId="7" xfId="2" applyFont="1" applyBorder="1" applyAlignment="1">
      <alignment wrapText="1"/>
    </xf>
    <xf numFmtId="0" fontId="18" fillId="0" borderId="7" xfId="2" applyFont="1" applyBorder="1" applyAlignment="1">
      <alignment horizontal="left" vertical="center" wrapText="1"/>
    </xf>
    <xf numFmtId="0" fontId="11" fillId="0" borderId="7" xfId="2" applyFont="1" applyBorder="1" applyAlignment="1">
      <alignment horizontal="center" wrapText="1"/>
    </xf>
    <xf numFmtId="0" fontId="41" fillId="0" borderId="7" xfId="2" applyFont="1" applyBorder="1" applyAlignment="1">
      <alignment horizontal="center" vertical="center"/>
    </xf>
    <xf numFmtId="0" fontId="43" fillId="0" borderId="3" xfId="2" applyFont="1" applyBorder="1" applyAlignment="1">
      <alignment horizontal="center" vertical="center"/>
    </xf>
    <xf numFmtId="0" fontId="43" fillId="0" borderId="2" xfId="2" applyFont="1" applyBorder="1" applyAlignment="1">
      <alignment horizontal="center" vertical="center"/>
    </xf>
    <xf numFmtId="0" fontId="9" fillId="3" borderId="5" xfId="2" applyFont="1" applyFill="1" applyBorder="1" applyAlignment="1">
      <alignment horizontal="center" vertical="center" wrapText="1"/>
    </xf>
    <xf numFmtId="0" fontId="18" fillId="0" borderId="0" xfId="2" applyFont="1" applyAlignment="1">
      <alignment horizontal="center" vertical="center"/>
    </xf>
    <xf numFmtId="0" fontId="9" fillId="0" borderId="0" xfId="2" applyFont="1" applyAlignment="1">
      <alignment horizontal="center" vertical="center"/>
    </xf>
    <xf numFmtId="0" fontId="19" fillId="0" borderId="0" xfId="1" applyFont="1"/>
    <xf numFmtId="0" fontId="12" fillId="0" borderId="3" xfId="2" applyFont="1" applyBorder="1"/>
    <xf numFmtId="0" fontId="12" fillId="0" borderId="2" xfId="2" applyFont="1" applyBorder="1"/>
    <xf numFmtId="0" fontId="10" fillId="0" borderId="6" xfId="2" applyFont="1" applyBorder="1" applyAlignment="1">
      <alignment horizontal="left" vertical="top" wrapText="1"/>
    </xf>
    <xf numFmtId="0" fontId="10" fillId="0" borderId="6" xfId="2" applyFont="1" applyBorder="1"/>
    <xf numFmtId="0" fontId="11" fillId="0" borderId="7" xfId="2" applyFont="1" applyBorder="1" applyAlignment="1">
      <alignment vertical="center" wrapText="1"/>
    </xf>
    <xf numFmtId="3" fontId="11" fillId="0" borderId="7" xfId="2" applyNumberFormat="1" applyFont="1" applyBorder="1" applyAlignment="1">
      <alignment vertical="center" wrapText="1"/>
    </xf>
    <xf numFmtId="0" fontId="18" fillId="0" borderId="7" xfId="2" applyFont="1" applyBorder="1" applyAlignment="1">
      <alignment vertical="center" wrapText="1"/>
    </xf>
    <xf numFmtId="0" fontId="9" fillId="0" borderId="7" xfId="2" applyFont="1" applyBorder="1" applyAlignment="1">
      <alignment horizontal="center" vertical="center" wrapText="1"/>
    </xf>
    <xf numFmtId="0" fontId="9" fillId="8" borderId="7" xfId="2" applyFont="1" applyFill="1" applyBorder="1" applyAlignment="1">
      <alignment horizontal="center" vertical="center" wrapText="1"/>
    </xf>
    <xf numFmtId="0" fontId="14" fillId="9" borderId="7" xfId="2" applyFont="1" applyFill="1" applyBorder="1" applyAlignment="1">
      <alignment horizontal="center" vertical="center" wrapText="1"/>
    </xf>
    <xf numFmtId="0" fontId="9" fillId="4" borderId="7" xfId="2" applyFont="1" applyFill="1" applyBorder="1" applyAlignment="1">
      <alignment horizontal="center" vertical="center" wrapText="1"/>
    </xf>
    <xf numFmtId="0" fontId="18" fillId="0" borderId="0" xfId="2" applyFont="1"/>
    <xf numFmtId="0" fontId="43" fillId="0" borderId="3" xfId="2" applyFont="1" applyBorder="1"/>
    <xf numFmtId="0" fontId="43" fillId="0" borderId="2" xfId="2" applyFont="1" applyBorder="1"/>
    <xf numFmtId="0" fontId="18" fillId="0" borderId="0" xfId="2" applyFont="1"/>
    <xf numFmtId="0" fontId="44" fillId="0" borderId="0" xfId="2" applyFont="1"/>
    <xf numFmtId="0" fontId="17" fillId="0" borderId="0" xfId="1"/>
    <xf numFmtId="0" fontId="17" fillId="0" borderId="0" xfId="1" applyAlignment="1">
      <alignment horizontal="left" vertical="center" indent="1"/>
    </xf>
    <xf numFmtId="0" fontId="20" fillId="0" borderId="0" xfId="2" applyAlignment="1">
      <alignment horizontal="left" vertical="center" indent="1"/>
    </xf>
    <xf numFmtId="0" fontId="9" fillId="0" borderId="7" xfId="2" applyFont="1" applyBorder="1" applyAlignment="1">
      <alignment horizontal="center" vertical="center"/>
    </xf>
    <xf numFmtId="0" fontId="10" fillId="0" borderId="0" xfId="2" applyFont="1"/>
    <xf numFmtId="3" fontId="18" fillId="0" borderId="7" xfId="2" applyNumberFormat="1" applyFont="1" applyBorder="1" applyAlignment="1">
      <alignment horizontal="left" vertical="center" wrapText="1"/>
    </xf>
    <xf numFmtId="0" fontId="41" fillId="0" borderId="7" xfId="2" applyFont="1" applyBorder="1" applyAlignment="1">
      <alignment horizontal="left" vertical="center"/>
    </xf>
    <xf numFmtId="0" fontId="11" fillId="0" borderId="0" xfId="2" applyFont="1"/>
    <xf numFmtId="0" fontId="20" fillId="0" borderId="0" xfId="2" applyAlignment="1">
      <alignment vertical="center" wrapText="1"/>
    </xf>
    <xf numFmtId="0" fontId="1" fillId="0" borderId="4" xfId="2" applyFont="1" applyBorder="1" applyAlignment="1">
      <alignment horizontal="center" vertical="center" wrapText="1"/>
    </xf>
    <xf numFmtId="168" fontId="1" fillId="0" borderId="4" xfId="2" applyNumberFormat="1" applyFont="1" applyBorder="1" applyAlignment="1">
      <alignment horizontal="center" vertical="center" wrapText="1"/>
    </xf>
    <xf numFmtId="168" fontId="1" fillId="7" borderId="4" xfId="2" applyNumberFormat="1" applyFont="1" applyFill="1" applyBorder="1" applyAlignment="1">
      <alignment horizontal="center" vertical="center" wrapText="1"/>
    </xf>
    <xf numFmtId="0" fontId="1" fillId="7" borderId="4" xfId="2" applyFont="1" applyFill="1" applyBorder="1" applyAlignment="1">
      <alignment horizontal="center" vertical="center" wrapText="1"/>
    </xf>
    <xf numFmtId="0" fontId="23" fillId="0" borderId="4" xfId="2" applyFont="1" applyBorder="1" applyAlignment="1">
      <alignment horizontal="center" vertical="center" wrapText="1"/>
    </xf>
    <xf numFmtId="0" fontId="24" fillId="0" borderId="5" xfId="2" applyFont="1" applyBorder="1" applyAlignment="1">
      <alignment horizontal="center" vertical="center"/>
    </xf>
    <xf numFmtId="0" fontId="20" fillId="0" borderId="0" xfId="2"/>
    <xf numFmtId="165" fontId="46" fillId="7" borderId="4" xfId="2" applyNumberFormat="1" applyFont="1" applyFill="1" applyBorder="1" applyAlignment="1">
      <alignment horizontal="center" vertical="center" wrapText="1"/>
    </xf>
    <xf numFmtId="166" fontId="1" fillId="0" borderId="4" xfId="2" applyNumberFormat="1" applyFont="1" applyBorder="1" applyAlignment="1">
      <alignment horizontal="center" vertical="center" wrapText="1"/>
    </xf>
    <xf numFmtId="0" fontId="47" fillId="7" borderId="4" xfId="2" applyFont="1" applyFill="1" applyBorder="1" applyAlignment="1">
      <alignment horizontal="center" vertical="center" wrapText="1"/>
    </xf>
    <xf numFmtId="168" fontId="48" fillId="7" borderId="4" xfId="2" applyNumberFormat="1" applyFont="1" applyFill="1" applyBorder="1" applyAlignment="1">
      <alignment horizontal="center" vertical="center" wrapText="1"/>
    </xf>
    <xf numFmtId="0" fontId="45" fillId="0" borderId="4" xfId="2" applyFont="1" applyBorder="1" applyAlignment="1">
      <alignment horizontal="center" vertical="center" wrapText="1"/>
    </xf>
    <xf numFmtId="0" fontId="49" fillId="10" borderId="4" xfId="2" applyFont="1" applyFill="1" applyBorder="1" applyAlignment="1">
      <alignment horizontal="center" vertical="center" wrapText="1"/>
    </xf>
    <xf numFmtId="0" fontId="49" fillId="7" borderId="4" xfId="2" applyFont="1" applyFill="1" applyBorder="1" applyAlignment="1">
      <alignment horizontal="center" vertical="center" wrapText="1"/>
    </xf>
    <xf numFmtId="0" fontId="50" fillId="0" borderId="4" xfId="2" applyFont="1" applyBorder="1" applyAlignment="1">
      <alignment horizontal="center" vertical="center" wrapText="1"/>
    </xf>
    <xf numFmtId="0" fontId="38" fillId="0" borderId="5" xfId="2" applyFont="1" applyBorder="1" applyAlignment="1">
      <alignment horizontal="center" vertical="center" wrapText="1"/>
    </xf>
    <xf numFmtId="0" fontId="9" fillId="4" borderId="4" xfId="2" applyFont="1" applyFill="1" applyBorder="1" applyAlignment="1">
      <alignment horizontal="center" vertical="center" wrapText="1"/>
    </xf>
    <xf numFmtId="0" fontId="9" fillId="0" borderId="10" xfId="2" applyFont="1" applyBorder="1" applyAlignment="1">
      <alignment horizontal="center" vertical="center" wrapText="1"/>
    </xf>
    <xf numFmtId="0" fontId="14" fillId="9" borderId="10" xfId="2" applyFont="1" applyFill="1" applyBorder="1" applyAlignment="1">
      <alignment horizontal="center" vertical="center" wrapText="1"/>
    </xf>
    <xf numFmtId="0" fontId="9" fillId="8" borderId="9" xfId="2" applyFont="1" applyFill="1" applyBorder="1" applyAlignment="1">
      <alignment horizontal="center" vertical="center" wrapText="1"/>
    </xf>
    <xf numFmtId="0" fontId="9" fillId="0" borderId="5" xfId="2" applyFont="1" applyBorder="1" applyAlignment="1">
      <alignment horizontal="center" vertical="center"/>
    </xf>
    <xf numFmtId="0" fontId="10" fillId="0" borderId="4" xfId="2" applyFont="1" applyBorder="1" applyAlignment="1">
      <alignment horizontal="center" vertical="center" wrapText="1"/>
    </xf>
    <xf numFmtId="0" fontId="12" fillId="0" borderId="4" xfId="2" applyFont="1" applyBorder="1" applyAlignment="1">
      <alignment horizontal="center" vertical="center" wrapText="1"/>
    </xf>
    <xf numFmtId="0" fontId="10" fillId="7" borderId="4" xfId="2" applyFont="1" applyFill="1" applyBorder="1" applyAlignment="1">
      <alignment horizontal="center" vertical="center" wrapText="1"/>
    </xf>
    <xf numFmtId="168" fontId="10" fillId="0" borderId="4" xfId="2" applyNumberFormat="1" applyFont="1" applyBorder="1" applyAlignment="1">
      <alignment horizontal="center" vertical="center" wrapText="1"/>
    </xf>
    <xf numFmtId="166" fontId="10" fillId="0" borderId="4" xfId="2" applyNumberFormat="1" applyFont="1" applyBorder="1" applyAlignment="1">
      <alignment horizontal="center" vertical="center" wrapText="1"/>
    </xf>
    <xf numFmtId="165" fontId="22" fillId="7" borderId="4" xfId="2" applyNumberFormat="1" applyFont="1" applyFill="1" applyBorder="1" applyAlignment="1">
      <alignment horizontal="center" vertical="center" wrapText="1"/>
    </xf>
    <xf numFmtId="0" fontId="10" fillId="0" borderId="4" xfId="2" applyFont="1" applyBorder="1"/>
    <xf numFmtId="0" fontId="11" fillId="0" borderId="0" xfId="2" applyFont="1" applyAlignment="1">
      <alignment wrapText="1"/>
    </xf>
    <xf numFmtId="0" fontId="9" fillId="0" borderId="9" xfId="2" applyFont="1" applyBorder="1" applyAlignment="1">
      <alignment horizontal="center" vertical="center" wrapText="1"/>
    </xf>
    <xf numFmtId="0" fontId="10" fillId="7" borderId="5" xfId="2" applyFont="1" applyFill="1" applyBorder="1" applyAlignment="1">
      <alignment horizontal="center" vertical="center" wrapText="1"/>
    </xf>
    <xf numFmtId="0" fontId="24" fillId="0" borderId="13" xfId="2" applyFont="1" applyBorder="1" applyAlignment="1">
      <alignment horizontal="center" vertical="center"/>
    </xf>
    <xf numFmtId="0" fontId="1" fillId="0" borderId="6" xfId="2" applyFont="1" applyBorder="1" applyAlignment="1">
      <alignment horizontal="center" vertical="center" wrapText="1"/>
    </xf>
    <xf numFmtId="0" fontId="23" fillId="0" borderId="6" xfId="2" applyFont="1" applyBorder="1" applyAlignment="1">
      <alignment horizontal="center" vertical="center" wrapText="1"/>
    </xf>
    <xf numFmtId="0" fontId="1" fillId="7" borderId="6" xfId="2" applyFont="1" applyFill="1" applyBorder="1" applyAlignment="1">
      <alignment horizontal="center" vertical="center" wrapText="1"/>
    </xf>
    <xf numFmtId="168" fontId="1" fillId="0" borderId="6" xfId="2" applyNumberFormat="1" applyFont="1" applyBorder="1" applyAlignment="1">
      <alignment horizontal="center" vertical="center" wrapText="1"/>
    </xf>
    <xf numFmtId="166" fontId="1" fillId="0" borderId="6" xfId="2" applyNumberFormat="1" applyFont="1" applyBorder="1" applyAlignment="1">
      <alignment horizontal="center" vertical="center" wrapText="1"/>
    </xf>
    <xf numFmtId="165" fontId="46" fillId="7" borderId="6" xfId="2" applyNumberFormat="1" applyFont="1" applyFill="1" applyBorder="1" applyAlignment="1">
      <alignment horizontal="center" vertical="center" wrapText="1"/>
    </xf>
    <xf numFmtId="0" fontId="24" fillId="4" borderId="7" xfId="2" applyFont="1" applyFill="1" applyBorder="1" applyAlignment="1">
      <alignment horizontal="center" vertical="center" wrapText="1"/>
    </xf>
    <xf numFmtId="0" fontId="32" fillId="0" borderId="7" xfId="2" applyFont="1" applyBorder="1" applyAlignment="1">
      <alignment horizontal="center" vertical="center" wrapText="1"/>
    </xf>
    <xf numFmtId="0" fontId="36" fillId="9" borderId="7" xfId="2" applyFont="1" applyFill="1" applyBorder="1" applyAlignment="1">
      <alignment horizontal="center" vertical="center" wrapText="1"/>
    </xf>
    <xf numFmtId="0" fontId="24" fillId="8" borderId="7" xfId="2" applyFont="1" applyFill="1" applyBorder="1" applyAlignment="1">
      <alignment horizontal="center" vertical="center" wrapText="1"/>
    </xf>
    <xf numFmtId="0" fontId="1" fillId="7" borderId="13" xfId="2" applyFont="1" applyFill="1" applyBorder="1" applyAlignment="1">
      <alignment horizontal="center" vertical="center" wrapText="1"/>
    </xf>
    <xf numFmtId="0" fontId="1" fillId="7" borderId="5" xfId="2" applyFont="1" applyFill="1" applyBorder="1" applyAlignment="1">
      <alignment horizontal="center" vertical="center" wrapText="1"/>
    </xf>
    <xf numFmtId="0" fontId="20" fillId="0" borderId="7" xfId="2" applyBorder="1" applyAlignment="1">
      <alignment vertical="center" wrapText="1"/>
    </xf>
    <xf numFmtId="168" fontId="10" fillId="7" borderId="4" xfId="2" applyNumberFormat="1" applyFont="1" applyFill="1" applyBorder="1" applyAlignment="1">
      <alignment horizontal="center" vertical="center" wrapText="1"/>
    </xf>
    <xf numFmtId="168" fontId="22" fillId="7" borderId="4" xfId="2" applyNumberFormat="1" applyFont="1" applyFill="1" applyBorder="1" applyAlignment="1">
      <alignment horizontal="center" vertical="center" wrapText="1"/>
    </xf>
    <xf numFmtId="0" fontId="10" fillId="0" borderId="0" xfId="2" applyFont="1" applyAlignment="1">
      <alignment horizontal="center" vertical="center" wrapText="1"/>
    </xf>
    <xf numFmtId="0" fontId="11" fillId="7" borderId="5" xfId="2" applyFont="1" applyFill="1" applyBorder="1" applyAlignment="1">
      <alignment horizontal="center" vertical="center" wrapText="1"/>
    </xf>
    <xf numFmtId="164" fontId="10" fillId="0" borderId="7" xfId="2" applyNumberFormat="1" applyFont="1" applyBorder="1" applyAlignment="1">
      <alignment horizontal="left" vertical="center" wrapText="1"/>
    </xf>
    <xf numFmtId="0" fontId="4" fillId="0" borderId="0" xfId="2" applyFont="1" applyAlignment="1"/>
    <xf numFmtId="0" fontId="4" fillId="0" borderId="0" xfId="2" applyFont="1" applyAlignment="1"/>
    <xf numFmtId="0" fontId="1" fillId="0" borderId="2" xfId="2" applyFont="1" applyBorder="1"/>
    <xf numFmtId="0" fontId="1" fillId="0" borderId="3" xfId="2" applyFont="1" applyBorder="1"/>
    <xf numFmtId="0" fontId="22" fillId="0" borderId="4" xfId="2" applyFont="1" applyBorder="1" applyAlignment="1">
      <alignment horizontal="left" vertical="center" wrapText="1"/>
    </xf>
    <xf numFmtId="165" fontId="22" fillId="7" borderId="4" xfId="2" applyNumberFormat="1" applyFont="1" applyFill="1" applyBorder="1" applyAlignment="1">
      <alignment horizontal="right" vertical="center" wrapText="1"/>
    </xf>
    <xf numFmtId="0" fontId="21" fillId="0" borderId="4" xfId="2" applyFont="1" applyBorder="1" applyAlignment="1">
      <alignment horizontal="left" vertical="center" wrapText="1"/>
    </xf>
    <xf numFmtId="0" fontId="9" fillId="11" borderId="7" xfId="0" applyFont="1" applyFill="1" applyBorder="1" applyAlignment="1">
      <alignment horizontal="center" vertical="center" wrapText="1"/>
    </xf>
    <xf numFmtId="0" fontId="9" fillId="0" borderId="0" xfId="0" applyFont="1" applyBorder="1" applyAlignment="1">
      <alignment horizontal="center" vertical="center"/>
    </xf>
    <xf numFmtId="0" fontId="10" fillId="0" borderId="0" xfId="0" applyFont="1" applyAlignment="1"/>
    <xf numFmtId="0" fontId="9" fillId="4" borderId="8" xfId="0" applyFont="1" applyFill="1" applyBorder="1" applyAlignment="1">
      <alignment horizontal="center" vertical="center" wrapText="1"/>
    </xf>
    <xf numFmtId="168" fontId="10" fillId="0" borderId="7" xfId="2" applyNumberFormat="1" applyFont="1" applyBorder="1" applyAlignment="1">
      <alignment horizontal="left" vertical="center" wrapText="1"/>
    </xf>
    <xf numFmtId="165" fontId="10" fillId="0" borderId="7" xfId="2" applyNumberFormat="1" applyFont="1" applyBorder="1" applyAlignment="1">
      <alignment horizontal="left" vertical="center" wrapText="1"/>
    </xf>
    <xf numFmtId="167" fontId="10" fillId="7" borderId="7" xfId="2" applyNumberFormat="1" applyFont="1" applyFill="1" applyBorder="1" applyAlignment="1">
      <alignment horizontal="left" vertical="center" wrapText="1"/>
    </xf>
    <xf numFmtId="167" fontId="10" fillId="0" borderId="7" xfId="2" applyNumberFormat="1" applyFont="1" applyBorder="1" applyAlignment="1">
      <alignment horizontal="left" vertical="center" wrapText="1"/>
    </xf>
    <xf numFmtId="0" fontId="9" fillId="4" borderId="10" xfId="2" applyFont="1" applyFill="1" applyBorder="1" applyAlignment="1">
      <alignment vertical="center" wrapText="1"/>
    </xf>
    <xf numFmtId="0" fontId="9" fillId="0" borderId="10" xfId="2" applyFont="1" applyBorder="1" applyAlignment="1">
      <alignment vertical="center" wrapText="1"/>
    </xf>
    <xf numFmtId="0" fontId="14" fillId="9" borderId="10" xfId="2" applyFont="1" applyFill="1" applyBorder="1" applyAlignment="1">
      <alignment vertical="center" wrapText="1"/>
    </xf>
    <xf numFmtId="0" fontId="9" fillId="8" borderId="9" xfId="2" applyFont="1" applyFill="1" applyBorder="1" applyAlignment="1">
      <alignment vertical="center" wrapText="1"/>
    </xf>
    <xf numFmtId="0" fontId="9" fillId="0" borderId="9" xfId="2" applyFont="1" applyBorder="1" applyAlignment="1">
      <alignment vertical="center" wrapText="1"/>
    </xf>
    <xf numFmtId="0" fontId="41" fillId="0" borderId="7" xfId="2" applyFont="1" applyBorder="1" applyAlignment="1">
      <alignment vertical="center"/>
    </xf>
    <xf numFmtId="0" fontId="11" fillId="0" borderId="12" xfId="2" applyFont="1" applyBorder="1" applyAlignment="1">
      <alignment vertical="center" wrapText="1"/>
    </xf>
    <xf numFmtId="168" fontId="10" fillId="7" borderId="7" xfId="2" applyNumberFormat="1" applyFont="1" applyFill="1" applyBorder="1" applyAlignment="1">
      <alignment horizontal="left" vertical="center" wrapText="1"/>
    </xf>
    <xf numFmtId="168" fontId="22" fillId="7" borderId="7" xfId="2" applyNumberFormat="1" applyFont="1" applyFill="1" applyBorder="1" applyAlignment="1">
      <alignment horizontal="left" vertical="center" wrapText="1"/>
    </xf>
    <xf numFmtId="0" fontId="10" fillId="0" borderId="7" xfId="0" applyFont="1" applyBorder="1" applyAlignment="1">
      <alignment horizontal="left" vertical="center" wrapText="1"/>
    </xf>
    <xf numFmtId="3" fontId="10" fillId="0" borderId="7" xfId="2" applyNumberFormat="1" applyFont="1" applyBorder="1" applyAlignment="1">
      <alignment horizontal="left" vertical="center" wrapText="1"/>
    </xf>
    <xf numFmtId="8" fontId="10" fillId="0" borderId="7" xfId="0" applyNumberFormat="1" applyFont="1" applyBorder="1" applyAlignment="1">
      <alignment horizontal="left" vertical="center" wrapText="1"/>
    </xf>
    <xf numFmtId="6" fontId="10" fillId="0" borderId="7" xfId="0" applyNumberFormat="1" applyFont="1" applyBorder="1" applyAlignment="1">
      <alignment horizontal="left" vertical="center" wrapText="1"/>
    </xf>
    <xf numFmtId="0" fontId="9" fillId="4" borderId="7" xfId="0" applyFont="1" applyFill="1" applyBorder="1" applyAlignment="1">
      <alignment horizontal="left" vertical="center" wrapText="1"/>
    </xf>
    <xf numFmtId="0" fontId="9" fillId="0" borderId="7" xfId="0" applyFont="1" applyBorder="1" applyAlignment="1">
      <alignment horizontal="left" vertical="center" wrapText="1"/>
    </xf>
    <xf numFmtId="0" fontId="9" fillId="5" borderId="7" xfId="0" applyFont="1" applyFill="1" applyBorder="1" applyAlignment="1">
      <alignment horizontal="left" vertical="center" wrapText="1"/>
    </xf>
    <xf numFmtId="0" fontId="9" fillId="6" borderId="7" xfId="0" applyFont="1" applyFill="1" applyBorder="1" applyAlignment="1">
      <alignment horizontal="left" vertical="center" wrapText="1"/>
    </xf>
    <xf numFmtId="0" fontId="9" fillId="0" borderId="7" xfId="0" applyFont="1" applyBorder="1" applyAlignment="1">
      <alignment horizontal="left" vertical="center"/>
    </xf>
    <xf numFmtId="0" fontId="10" fillId="0" borderId="0" xfId="0" applyFont="1" applyBorder="1" applyAlignment="1">
      <alignment horizontal="left" vertical="center"/>
    </xf>
    <xf numFmtId="0" fontId="9" fillId="12" borderId="7" xfId="0" applyFont="1" applyFill="1" applyBorder="1" applyAlignment="1">
      <alignment horizontal="center" vertical="center" wrapText="1"/>
    </xf>
    <xf numFmtId="0" fontId="9" fillId="13" borderId="7" xfId="0" applyFont="1" applyFill="1" applyBorder="1" applyAlignment="1">
      <alignment horizontal="center" vertical="center" wrapText="1"/>
    </xf>
    <xf numFmtId="0" fontId="54" fillId="0" borderId="7" xfId="0" applyFont="1" applyBorder="1" applyAlignment="1">
      <alignment horizontal="left" vertical="center"/>
    </xf>
    <xf numFmtId="0" fontId="55" fillId="0" borderId="7" xfId="2" applyFont="1" applyBorder="1" applyAlignment="1">
      <alignment horizontal="left" vertical="center" wrapText="1"/>
    </xf>
    <xf numFmtId="0" fontId="55" fillId="7" borderId="7" xfId="2" applyFont="1" applyFill="1" applyBorder="1" applyAlignment="1">
      <alignment horizontal="left" vertical="center" wrapText="1"/>
    </xf>
    <xf numFmtId="168" fontId="55" fillId="7" borderId="7" xfId="2" applyNumberFormat="1" applyFont="1" applyFill="1" applyBorder="1" applyAlignment="1">
      <alignment horizontal="left" vertical="center" wrapText="1"/>
    </xf>
    <xf numFmtId="168" fontId="55" fillId="0" borderId="7" xfId="2" applyNumberFormat="1" applyFont="1" applyBorder="1" applyAlignment="1">
      <alignment horizontal="left" vertical="center" wrapText="1"/>
    </xf>
    <xf numFmtId="166" fontId="55" fillId="0" borderId="7" xfId="2" applyNumberFormat="1" applyFont="1" applyBorder="1" applyAlignment="1">
      <alignment horizontal="left" vertical="center" wrapText="1"/>
    </xf>
    <xf numFmtId="165" fontId="56" fillId="7" borderId="7" xfId="2" applyNumberFormat="1" applyFont="1" applyFill="1" applyBorder="1" applyAlignment="1">
      <alignment horizontal="left" vertical="center" wrapText="1"/>
    </xf>
    <xf numFmtId="0" fontId="54" fillId="0" borderId="7" xfId="2" applyFont="1" applyBorder="1" applyAlignment="1">
      <alignment horizontal="left" vertical="center" wrapText="1"/>
    </xf>
    <xf numFmtId="0" fontId="55" fillId="10" borderId="7" xfId="2" applyFont="1" applyFill="1" applyBorder="1" applyAlignment="1">
      <alignment horizontal="left" vertical="center" wrapText="1"/>
    </xf>
    <xf numFmtId="0" fontId="54" fillId="0" borderId="0" xfId="0" applyFont="1" applyAlignment="1"/>
    <xf numFmtId="0" fontId="9" fillId="0" borderId="8" xfId="0" applyFont="1" applyBorder="1" applyAlignment="1">
      <alignment horizontal="center" vertical="center" wrapText="1"/>
    </xf>
    <xf numFmtId="0" fontId="9" fillId="5" borderId="8" xfId="0" applyFont="1" applyFill="1" applyBorder="1" applyAlignment="1">
      <alignment horizontal="center" vertical="center" wrapText="1"/>
    </xf>
    <xf numFmtId="0" fontId="9" fillId="6" borderId="8" xfId="0" applyFont="1" applyFill="1" applyBorder="1" applyAlignment="1">
      <alignment horizontal="center" vertical="center" wrapText="1"/>
    </xf>
    <xf numFmtId="0" fontId="10" fillId="0" borderId="0" xfId="0" applyFont="1" applyBorder="1" applyAlignment="1">
      <alignment horizontal="left" vertical="center" wrapText="1"/>
    </xf>
    <xf numFmtId="0" fontId="22" fillId="0" borderId="0" xfId="1" applyFont="1" applyBorder="1" applyAlignment="1">
      <alignment horizontal="left" vertical="center" wrapText="1"/>
    </xf>
    <xf numFmtId="0" fontId="20" fillId="14" borderId="7" xfId="0" applyFont="1" applyFill="1" applyBorder="1" applyAlignment="1">
      <alignment wrapText="1"/>
    </xf>
    <xf numFmtId="0" fontId="10" fillId="14" borderId="7" xfId="0" applyFont="1" applyFill="1" applyBorder="1" applyAlignment="1">
      <alignment horizontal="left" vertical="center" wrapText="1"/>
    </xf>
    <xf numFmtId="0" fontId="20" fillId="14" borderId="7" xfId="0" applyFont="1" applyFill="1" applyBorder="1" applyAlignment="1"/>
    <xf numFmtId="0" fontId="10" fillId="14" borderId="7" xfId="0" applyFont="1" applyFill="1" applyBorder="1"/>
    <xf numFmtId="0" fontId="20" fillId="14" borderId="14" xfId="0" applyFont="1" applyFill="1" applyBorder="1" applyAlignment="1"/>
    <xf numFmtId="0" fontId="9" fillId="0" borderId="7" xfId="0" applyFont="1" applyBorder="1" applyAlignment="1">
      <alignment horizontal="center" vertical="center" wrapText="1"/>
    </xf>
    <xf numFmtId="0" fontId="9" fillId="5" borderId="7" xfId="0" applyFont="1" applyFill="1" applyBorder="1" applyAlignment="1">
      <alignment horizontal="center" vertical="center" wrapText="1"/>
    </xf>
    <xf numFmtId="0" fontId="9" fillId="6" borderId="7" xfId="0" applyFont="1" applyFill="1" applyBorder="1" applyAlignment="1">
      <alignment horizontal="center" vertical="center" wrapText="1"/>
    </xf>
  </cellXfs>
  <cellStyles count="3">
    <cellStyle name="Hipervínculo" xfId="1" builtinId="8"/>
    <cellStyle name="Normal" xfId="0" builtinId="0"/>
    <cellStyle name="Normal 2" xfId="2" xr:uid="{34497710-E48F-4C21-BB8C-51714DBE5E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customschemas.google.com/relationships/workbookmetadata" Target="metadata"/><Relationship Id="rId30"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hp.com/co-es/desktops" TargetMode="External"/><Relationship Id="rId1" Type="http://schemas.openxmlformats.org/officeDocument/2006/relationships/hyperlink" Target="https://www.lenovo.com/co/es/desktops"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acer.com/co-es/monitors" TargetMode="External"/><Relationship Id="rId1" Type="http://schemas.openxmlformats.org/officeDocument/2006/relationships/hyperlink" Target="https://www.samsung.com/co/monitor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westerndigital.com/products/internal-drives" TargetMode="External"/><Relationship Id="rId2" Type="http://schemas.openxmlformats.org/officeDocument/2006/relationships/hyperlink" Target="https://www.crucial.com/ssd" TargetMode="External"/><Relationship Id="rId1" Type="http://schemas.openxmlformats.org/officeDocument/2006/relationships/hyperlink" Target="https://www.kingston.com/es/ssd"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toshiba-storage.com/" TargetMode="External"/><Relationship Id="rId2" Type="http://schemas.openxmlformats.org/officeDocument/2006/relationships/hyperlink" Target="https://www.westerndigital.com/products/internal-drives" TargetMode="External"/><Relationship Id="rId1" Type="http://schemas.openxmlformats.org/officeDocument/2006/relationships/hyperlink" Target="https://www.seagate.com/la/es/products/hard-drives" TargetMode="External"/><Relationship Id="rId4"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lasus.com.co/es/content/servidores-poweredge-dell?utm_campaign=6451544044&amp;utm_source=google&amp;utm_medium=cpc&amp;utm_content=448498963815&amp;utm_term=servidores%20dell&amp;adgroupid=76797377266&amp;gad_source=1&amp;gad_campaignid=6451544044&amp;gclid=CjwKCAjw1N7NBhAoEiwAcPchpwJUZiVijHcIW_OhOot0imV1H0cJqHVDd52_zZcFa1NHxqqjIdlVfxoCKW8QAvD_BwE" TargetMode="External"/><Relationship Id="rId2" Type="http://schemas.openxmlformats.org/officeDocument/2006/relationships/hyperlink" Target="https://lasus.com.co/es/content/tecnologia-servidores-proliant-hpe-gen-10?utm_campaign=6451544044&amp;utm_source=google&amp;utm_medium=cpc&amp;utm_content=482073522194&amp;utm_term=&amp;adgroupid=83251051132&amp;gad_source=1&amp;gad_campaignid=6451544044&amp;gclid=CjwKCAjw1N7NBhAoEiwAcPchpy4z6h-te6B3BPSXk5ofiikHO61sCPWel5IS2kQ-qY-W3qYTXZHQ0xoCX-kQAvD_BwE" TargetMode="External"/><Relationship Id="rId1" Type="http://schemas.openxmlformats.org/officeDocument/2006/relationships/hyperlink" Target="https://lasus.com.co/es/content/servidores-poweredge-dell?utm_campaign=6451544044&amp;utm_source=google&amp;utm_medium=cpc&amp;utm_content=448498963815&amp;utm_term=servidores%20dell&amp;adgroupid=76797377266&amp;gad_source=1&amp;gad_campaignid=6451544044&amp;gclid=CjwKCAjw1N7NBhAoEiwAcPchpwJUZiVijHcIW_OhOot0imV1H0cJqHVDd52_zZcFa1NHxqqjIdlVfxoCKW8QAvD_BwE"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amazon.com/s?k=crucial+ram+16gb+ddr4+3200mhz&amp;language=es_US&amp;adgrpid=79218254153&amp;hvadid=602529824615&amp;hvdev=c&amp;hvlocphy=1003659&amp;hvnetw=g&amp;hvqmt=e&amp;hvrand=4175120075867419545&amp;hvtargid=kwd-1124514852465&amp;hydadcr=936_1015034366&amp;mcid=65ecf6b18ad93050a4bfa4c1c1ce9c36&amp;tag=googleuscolom-20&amp;ref=pd_sl_7xu71vwv9b_e" TargetMode="External"/><Relationship Id="rId2" Type="http://schemas.openxmlformats.org/officeDocument/2006/relationships/hyperlink" Target="https://www.amazon.com/s?k=crucial+ram+16gb+ddr4+3200mhz&amp;language=es_US&amp;adgrpid=79218254153&amp;hvadid=602529824615&amp;hvdev=c&amp;hvlocphy=1003659&amp;hvnetw=g&amp;hvqmt=e&amp;hvrand=6352668263566247394&amp;hvtargid=kwd-1124514852465&amp;hydadcr=936_1015034366&amp;mcid=65ecf6b18ad93050a4bfa4c1c1ce9c36&amp;tag=googleuscolom-20&amp;ref=pd_sl_7xu71vwv9b_e" TargetMode="External"/><Relationship Id="rId1" Type="http://schemas.openxmlformats.org/officeDocument/2006/relationships/hyperlink" Target="https://www.amazon.com/s?k=16+gb+corsair+vengeance+ddr4&amp;language=es_US&amp;adgrpid=81699018167&amp;hvadid=673177058077&amp;hvdev=c&amp;hvlocphy=1003659&amp;hvnetw=g&amp;hvqmt=b&amp;hvrand=9905942758844049906&amp;hvtargid=kwd-298821844462&amp;hydadcr=937_1015168466&amp;mcid=39aec5d415d33e64a4776a55eab2d310&amp;tag=googleuscolom-20&amp;ref=pd_sl_2zr8qiljb9_b"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hyperlink" Target="https://www.mercadolibre.com.co/teclado-genius-slimstar-126-qwerty-membrana-negro-espanol-usb-full-size/p/MCO17410211" TargetMode="External"/><Relationship Id="rId2" Type="http://schemas.openxmlformats.org/officeDocument/2006/relationships/hyperlink" Target="https://www.amazon.com/s?k=hp+150+wired+keyboard&amp;language=es_US&amp;adgrpid=160408986186&amp;hvadid=696166832638&amp;hvdev=c&amp;hvlocphy=1003659&amp;hvnetw=g&amp;hvqmt=e&amp;hvrand=16135102032318502716&amp;hvtargid=kwd-1454168940947&amp;hydadcr=724_1015034167&amp;mcid=89012d47785f31c98eccb8acaeb14340&amp;tag=googleuscolom-20&amp;ref=pd_sl_zmeycif1l_e" TargetMode="External"/><Relationship Id="rId1" Type="http://schemas.openxmlformats.org/officeDocument/2006/relationships/hyperlink" Target="https://www.amazon.com/s?k=logitech+k120+wired+keyboard&amp;language=es_US&amp;adgrpid=77280615265&amp;hvadid=673140321111&amp;hvdev=c&amp;hvlocphy=1003659&amp;hvnetw=g&amp;hvqmt=e&amp;hvrand=2003848132199340377&amp;hvtargid=kwd-317017830218&amp;hydadcr=717_1015168563&amp;mcid=00c9107bd4553ef69df7fbe20a4703e6&amp;tag=googleuscolom-20&amp;ref=pd_sl_2aodsxoly6_e"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geniusnet.com/es" TargetMode="External"/><Relationship Id="rId2" Type="http://schemas.openxmlformats.org/officeDocument/2006/relationships/hyperlink" Target="https://www.hp.com/co-es/home.html" TargetMode="External"/><Relationship Id="rId1" Type="http://schemas.openxmlformats.org/officeDocument/2006/relationships/hyperlink" Target="https://www.amazon.com/s?k=logitech+m185+wireless+mouse&amp;language=es_US&amp;adgrpid=160729136053&amp;hvadid=696143784687&amp;hvdev=c&amp;hvlocphy=1003659&amp;hvnetw=g&amp;hvqmt=e&amp;hvrand=17563222722783448525&amp;hvtargid=kwd-297587856699&amp;hydadcr=717_1015168563&amp;mcid=07d39be70f0c3ddbb0247fd3d1dc5663&amp;tag=googleuscolom-20&amp;ref=pd_sl_4ihv3vd1ln_e"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2.xml.rels><?xml version="1.0" encoding="UTF-8" standalone="yes"?>
<Relationships xmlns="http://schemas.openxmlformats.org/package/2006/relationships"><Relationship Id="rId3" Type="http://schemas.openxmlformats.org/officeDocument/2006/relationships/hyperlink" Target="https://lasus.com.co/es/paquete-de-licencia-de-sql-server-standard-2-core-1-ano" TargetMode="External"/><Relationship Id="rId2" Type="http://schemas.openxmlformats.org/officeDocument/2006/relationships/hyperlink" Target="https://revolutionsoft.com.co/cals/microsoft-sql-server-2019-standard-user-cal.html" TargetMode="External"/><Relationship Id="rId1" Type="http://schemas.openxmlformats.org/officeDocument/2006/relationships/hyperlink" Target="https://latinkeys.com/colombia/producto/sql-server-2019-standard-licencia-para-1-servidor/" TargetMode="External"/><Relationship Id="rId4" Type="http://schemas.openxmlformats.org/officeDocument/2006/relationships/printerSettings" Target="../printerSettings/printerSettings5.bin"/></Relationships>
</file>

<file path=xl/worksheets/_rels/sheet23.xml.rels><?xml version="1.0" encoding="UTF-8" standalone="yes"?>
<Relationships xmlns="http://schemas.openxmlformats.org/package/2006/relationships"><Relationship Id="rId8" Type="http://schemas.openxmlformats.org/officeDocument/2006/relationships/hyperlink" Target="https://latinkeys.com/colombia/producto/sql-server-2019-standard-licencia-para-1-servidor/" TargetMode="External"/><Relationship Id="rId3" Type="http://schemas.openxmlformats.org/officeDocument/2006/relationships/hyperlink" Target="https://www.seagate.com/la/es/products/hard-drives" TargetMode="External"/><Relationship Id="rId7" Type="http://schemas.openxmlformats.org/officeDocument/2006/relationships/hyperlink" Target="https://www.amazon.com/s?k=logitech+m185+wireless+mouse&amp;language=es_US&amp;adgrpid=160729136053&amp;hvadid=696143784687&amp;hvdev=c&amp;hvlocphy=1003659&amp;hvnetw=g&amp;hvqmt=e&amp;hvrand=17563222722783448525&amp;hvtargid=kwd-297587856699&amp;hydadcr=717_1015168563&amp;mcid=07d39be70f0c3ddbb0247fd3d1dc5663&amp;tag=googleuscolom-20&amp;ref=pd_sl_4ihv3vd1ln_e" TargetMode="External"/><Relationship Id="rId2" Type="http://schemas.openxmlformats.org/officeDocument/2006/relationships/hyperlink" Target="https://www.kingston.com/es/ssd" TargetMode="External"/><Relationship Id="rId1" Type="http://schemas.openxmlformats.org/officeDocument/2006/relationships/hyperlink" Target="https://www.lenovo.com/co/es/desktops" TargetMode="External"/><Relationship Id="rId6" Type="http://schemas.openxmlformats.org/officeDocument/2006/relationships/hyperlink" Target="https://www.mercadolibre.com.co/teclado-genius-slimstar-126-qwerty-membrana-negro-espanol-usb-full-size/p/MCO17410211" TargetMode="External"/><Relationship Id="rId5" Type="http://schemas.openxmlformats.org/officeDocument/2006/relationships/hyperlink" Target="https://www.amazon.com/s?k=crucial+ram+16gb+ddr4+3200mhz&amp;language=es_US&amp;adgrpid=79218254153&amp;hvadid=602529824615&amp;hvdev=c&amp;hvlocphy=1003659&amp;hvnetw=g&amp;hvqmt=e&amp;hvrand=4175120075867419545&amp;hvtargid=kwd-1124514852465&amp;hydadcr=936_1015034366&amp;mcid=65ecf6b18ad93050a4bfa4c1c1ce9c36&amp;tag=googleuscolom-20&amp;ref=pd_sl_7xu71vwv9b_e" TargetMode="External"/><Relationship Id="rId4" Type="http://schemas.openxmlformats.org/officeDocument/2006/relationships/hyperlink" Target="https://lasus.com.co/es/content/servidores-poweredge-dell?utm_campaign=6451544044&amp;utm_source=google&amp;utm_medium=cpc&amp;utm_content=448498963815&amp;utm_term=servidores%20dell&amp;adgroupid=76797377266&amp;gad_source=1&amp;gad_campaignid=6451544044&amp;gclid=CjwKCAjw1N7NBhAoEiwAcPchpwJUZiVijHcIW_OhOot0imV1H0cJqHVDd52_zZcFa1NHxqqjIdlVfxoCKW8QAvD_Bw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43"/>
  <sheetViews>
    <sheetView zoomScale="85" zoomScaleNormal="85" workbookViewId="0">
      <selection activeCell="A9" sqref="A9:O9"/>
    </sheetView>
  </sheetViews>
  <sheetFormatPr baseColWidth="10" defaultColWidth="12.5703125" defaultRowHeight="15" customHeight="1" x14ac:dyDescent="0.2"/>
  <cols>
    <col min="6" max="6" width="9" customWidth="1"/>
    <col min="7" max="7" width="20" customWidth="1"/>
  </cols>
  <sheetData>
    <row r="1" spans="1:15" ht="30.75" customHeight="1" x14ac:dyDescent="0.2">
      <c r="A1" s="25"/>
      <c r="B1" s="25"/>
      <c r="C1" s="25"/>
      <c r="D1" s="25"/>
      <c r="E1" s="25"/>
      <c r="F1" s="25"/>
      <c r="G1" s="25"/>
      <c r="H1" s="25"/>
      <c r="I1" s="25"/>
      <c r="J1" s="25"/>
      <c r="K1" s="25"/>
      <c r="L1" s="25"/>
      <c r="M1" s="25"/>
      <c r="N1" s="25"/>
      <c r="O1" s="25"/>
    </row>
    <row r="2" spans="1:15" ht="30.75" customHeight="1" x14ac:dyDescent="0.2">
      <c r="A2" s="25"/>
      <c r="B2" s="25"/>
      <c r="C2" s="25"/>
      <c r="D2" s="25"/>
      <c r="E2" s="25"/>
      <c r="F2" s="25"/>
      <c r="G2" s="25"/>
      <c r="H2" s="25"/>
      <c r="I2" s="25"/>
      <c r="J2" s="25"/>
      <c r="K2" s="25"/>
      <c r="L2" s="25"/>
      <c r="M2" s="25"/>
      <c r="N2" s="25"/>
      <c r="O2" s="25"/>
    </row>
    <row r="3" spans="1:15" ht="36" customHeight="1" x14ac:dyDescent="0.2">
      <c r="A3" s="26" t="s">
        <v>6</v>
      </c>
      <c r="B3" s="26"/>
      <c r="C3" s="26"/>
      <c r="D3" s="26"/>
      <c r="E3" s="26"/>
      <c r="F3" s="26"/>
      <c r="G3" s="26"/>
      <c r="H3" s="26"/>
      <c r="I3" s="26"/>
      <c r="J3" s="26"/>
      <c r="K3" s="26"/>
      <c r="L3" s="26"/>
      <c r="M3" s="26"/>
      <c r="N3" s="26"/>
      <c r="O3" s="26"/>
    </row>
    <row r="4" spans="1:15" ht="30.75" customHeight="1" x14ac:dyDescent="0.2">
      <c r="A4" s="25"/>
      <c r="B4" s="25"/>
      <c r="C4" s="25"/>
      <c r="D4" s="25"/>
      <c r="E4" s="25"/>
      <c r="F4" s="25"/>
      <c r="G4" s="25"/>
      <c r="H4" s="25"/>
      <c r="I4" s="25"/>
      <c r="J4" s="25"/>
      <c r="K4" s="25"/>
      <c r="L4" s="25"/>
      <c r="M4" s="25"/>
      <c r="N4" s="25"/>
      <c r="O4" s="25"/>
    </row>
    <row r="5" spans="1:15" ht="30.75" customHeight="1" x14ac:dyDescent="0.2">
      <c r="A5" s="25"/>
      <c r="B5" s="25"/>
      <c r="C5" s="25"/>
      <c r="D5" s="25"/>
      <c r="E5" s="25"/>
      <c r="F5" s="25"/>
      <c r="G5" s="25"/>
      <c r="H5" s="25"/>
      <c r="I5" s="25"/>
      <c r="J5" s="25"/>
      <c r="K5" s="25"/>
      <c r="L5" s="25"/>
      <c r="M5" s="25"/>
      <c r="N5" s="25"/>
      <c r="O5" s="25"/>
    </row>
    <row r="6" spans="1:15" ht="15" customHeight="1" x14ac:dyDescent="0.2">
      <c r="A6" s="25"/>
      <c r="B6" s="25"/>
      <c r="C6" s="25"/>
      <c r="D6" s="25"/>
      <c r="E6" s="25"/>
      <c r="F6" s="25"/>
      <c r="G6" s="25"/>
      <c r="H6" s="25"/>
      <c r="I6" s="25"/>
      <c r="J6" s="25"/>
      <c r="K6" s="25"/>
      <c r="L6" s="25"/>
      <c r="M6" s="25"/>
      <c r="N6" s="25"/>
      <c r="O6" s="25"/>
    </row>
    <row r="7" spans="1:15" ht="41.25" customHeight="1" x14ac:dyDescent="0.2">
      <c r="A7" s="25" t="s">
        <v>11</v>
      </c>
      <c r="B7" s="25"/>
      <c r="C7" s="25"/>
      <c r="D7" s="25"/>
      <c r="E7" s="25"/>
      <c r="F7" s="25"/>
      <c r="G7" s="25"/>
      <c r="H7" s="25"/>
      <c r="I7" s="25"/>
      <c r="J7" s="25"/>
      <c r="K7" s="25"/>
      <c r="L7" s="25"/>
      <c r="M7" s="25"/>
      <c r="N7" s="25"/>
      <c r="O7" s="25"/>
    </row>
    <row r="8" spans="1:15" ht="27.75" customHeight="1" x14ac:dyDescent="0.2">
      <c r="A8" s="25"/>
      <c r="B8" s="25"/>
      <c r="C8" s="25"/>
      <c r="D8" s="25"/>
      <c r="E8" s="25"/>
      <c r="F8" s="25"/>
      <c r="G8" s="25"/>
      <c r="H8" s="25"/>
      <c r="I8" s="25"/>
      <c r="J8" s="25"/>
      <c r="K8" s="25"/>
      <c r="L8" s="25"/>
      <c r="M8" s="25"/>
      <c r="N8" s="25"/>
      <c r="O8" s="25"/>
    </row>
    <row r="9" spans="1:15" ht="32.25" customHeight="1" x14ac:dyDescent="0.2">
      <c r="A9" s="25" t="s">
        <v>9</v>
      </c>
      <c r="B9" s="25"/>
      <c r="C9" s="25"/>
      <c r="D9" s="25"/>
      <c r="E9" s="25"/>
      <c r="F9" s="25"/>
      <c r="G9" s="25"/>
      <c r="H9" s="25"/>
      <c r="I9" s="25"/>
      <c r="J9" s="25"/>
      <c r="K9" s="25"/>
      <c r="L9" s="25"/>
      <c r="M9" s="25"/>
      <c r="N9" s="25"/>
      <c r="O9" s="25"/>
    </row>
    <row r="10" spans="1:15" ht="15" customHeight="1" x14ac:dyDescent="0.2">
      <c r="A10" s="25"/>
      <c r="B10" s="25"/>
      <c r="C10" s="25"/>
      <c r="D10" s="25"/>
      <c r="E10" s="25"/>
      <c r="F10" s="25"/>
      <c r="G10" s="25"/>
      <c r="H10" s="25"/>
      <c r="I10" s="25"/>
      <c r="J10" s="25"/>
      <c r="K10" s="25"/>
      <c r="L10" s="25"/>
      <c r="M10" s="25"/>
      <c r="N10" s="25"/>
      <c r="O10" s="25"/>
    </row>
    <row r="11" spans="1:15" ht="34.5" customHeight="1" x14ac:dyDescent="0.2">
      <c r="A11" s="25"/>
      <c r="B11" s="25"/>
      <c r="C11" s="25"/>
      <c r="D11" s="25"/>
      <c r="E11" s="25"/>
      <c r="F11" s="25"/>
      <c r="G11" s="25"/>
      <c r="H11" s="25"/>
      <c r="I11" s="25"/>
      <c r="J11" s="25"/>
      <c r="K11" s="25"/>
      <c r="L11" s="25"/>
      <c r="M11" s="25"/>
      <c r="N11" s="25"/>
      <c r="O11" s="25"/>
    </row>
    <row r="12" spans="1:15" ht="30.75" customHeight="1" x14ac:dyDescent="0.2">
      <c r="A12" s="25"/>
      <c r="B12" s="25"/>
      <c r="C12" s="25"/>
      <c r="D12" s="25"/>
      <c r="E12" s="25"/>
      <c r="F12" s="25"/>
      <c r="G12" s="25"/>
      <c r="H12" s="25"/>
      <c r="I12" s="25"/>
      <c r="J12" s="25"/>
      <c r="K12" s="25"/>
      <c r="L12" s="25"/>
      <c r="M12" s="25"/>
      <c r="N12" s="25"/>
      <c r="O12" s="25"/>
    </row>
    <row r="13" spans="1:15" ht="15" customHeight="1" x14ac:dyDescent="0.2">
      <c r="A13" s="25"/>
      <c r="B13" s="25"/>
      <c r="C13" s="25"/>
      <c r="D13" s="25"/>
      <c r="E13" s="25"/>
      <c r="F13" s="25"/>
      <c r="G13" s="25"/>
      <c r="H13" s="25"/>
      <c r="I13" s="25"/>
      <c r="J13" s="25"/>
      <c r="K13" s="25"/>
      <c r="L13" s="25"/>
      <c r="M13" s="25"/>
      <c r="N13" s="25"/>
      <c r="O13" s="25"/>
    </row>
    <row r="14" spans="1:15" ht="30.75" customHeight="1" x14ac:dyDescent="0.2">
      <c r="A14" s="25"/>
      <c r="B14" s="25"/>
      <c r="C14" s="25"/>
      <c r="D14" s="25"/>
      <c r="E14" s="25"/>
      <c r="F14" s="25"/>
      <c r="G14" s="25"/>
      <c r="H14" s="25"/>
      <c r="I14" s="25"/>
      <c r="J14" s="25"/>
      <c r="K14" s="25"/>
      <c r="L14" s="25"/>
      <c r="M14" s="25"/>
      <c r="N14" s="25"/>
      <c r="O14" s="25"/>
    </row>
    <row r="15" spans="1:15" ht="30.75" customHeight="1" x14ac:dyDescent="0.2">
      <c r="A15" s="25"/>
      <c r="B15" s="25"/>
      <c r="C15" s="25"/>
      <c r="D15" s="25"/>
      <c r="E15" s="25"/>
      <c r="F15" s="25"/>
      <c r="G15" s="25"/>
      <c r="H15" s="25"/>
      <c r="I15" s="25"/>
      <c r="J15" s="25"/>
      <c r="K15" s="25"/>
      <c r="L15" s="25"/>
      <c r="M15" s="25"/>
      <c r="N15" s="25"/>
      <c r="O15" s="25"/>
    </row>
    <row r="16" spans="1:15" ht="27.75" customHeight="1" x14ac:dyDescent="0.2">
      <c r="A16" s="25" t="s">
        <v>10</v>
      </c>
      <c r="B16" s="25"/>
      <c r="C16" s="25"/>
      <c r="D16" s="25"/>
      <c r="E16" s="25"/>
      <c r="F16" s="25"/>
      <c r="G16" s="25"/>
      <c r="H16" s="25"/>
      <c r="I16" s="25"/>
      <c r="J16" s="25"/>
      <c r="K16" s="25"/>
      <c r="L16" s="25"/>
      <c r="M16" s="25"/>
      <c r="N16" s="25"/>
      <c r="O16" s="25"/>
    </row>
    <row r="17" spans="1:15" ht="15" customHeight="1" x14ac:dyDescent="0.2">
      <c r="A17" s="25"/>
      <c r="B17" s="25"/>
      <c r="C17" s="25"/>
      <c r="D17" s="25"/>
      <c r="E17" s="25"/>
      <c r="F17" s="25"/>
      <c r="G17" s="25"/>
      <c r="H17" s="25"/>
      <c r="I17" s="25"/>
      <c r="J17" s="25"/>
      <c r="K17" s="25"/>
      <c r="L17" s="25"/>
      <c r="M17" s="25"/>
      <c r="N17" s="25"/>
      <c r="O17" s="25"/>
    </row>
    <row r="18" spans="1:15" ht="22.5" customHeight="1" x14ac:dyDescent="0.2">
      <c r="A18" s="25" t="s">
        <v>0</v>
      </c>
      <c r="B18" s="25"/>
      <c r="C18" s="25"/>
      <c r="D18" s="25"/>
      <c r="E18" s="25"/>
      <c r="F18" s="25"/>
      <c r="G18" s="25"/>
      <c r="H18" s="25"/>
      <c r="I18" s="25"/>
      <c r="J18" s="25"/>
      <c r="K18" s="25"/>
      <c r="L18" s="25"/>
      <c r="M18" s="25"/>
      <c r="N18" s="25"/>
      <c r="O18" s="25"/>
    </row>
    <row r="19" spans="1:15" ht="15" customHeight="1" x14ac:dyDescent="0.2">
      <c r="A19" s="25"/>
      <c r="B19" s="25"/>
      <c r="C19" s="25"/>
      <c r="D19" s="25"/>
      <c r="E19" s="25"/>
      <c r="F19" s="25"/>
      <c r="G19" s="25"/>
      <c r="H19" s="25"/>
      <c r="I19" s="25"/>
      <c r="J19" s="25"/>
      <c r="K19" s="25"/>
      <c r="L19" s="25"/>
      <c r="M19" s="25"/>
      <c r="N19" s="25"/>
      <c r="O19" s="25"/>
    </row>
    <row r="20" spans="1:15" ht="15" customHeight="1" x14ac:dyDescent="0.2">
      <c r="A20" s="25"/>
      <c r="B20" s="25"/>
      <c r="C20" s="25"/>
      <c r="D20" s="25"/>
      <c r="E20" s="25"/>
      <c r="F20" s="25"/>
      <c r="G20" s="25"/>
      <c r="H20" s="25"/>
      <c r="I20" s="25"/>
      <c r="J20" s="25"/>
      <c r="K20" s="25"/>
      <c r="L20" s="25"/>
      <c r="M20" s="25"/>
      <c r="N20" s="25"/>
      <c r="O20" s="25"/>
    </row>
    <row r="21" spans="1:15" ht="30.75" customHeight="1" x14ac:dyDescent="0.2">
      <c r="A21" s="25"/>
      <c r="B21" s="25"/>
      <c r="C21" s="25"/>
      <c r="D21" s="25"/>
      <c r="E21" s="25"/>
      <c r="F21" s="25"/>
      <c r="G21" s="25"/>
      <c r="H21" s="25"/>
      <c r="I21" s="25"/>
      <c r="J21" s="25"/>
      <c r="K21" s="25"/>
      <c r="L21" s="25"/>
      <c r="M21" s="25"/>
      <c r="N21" s="25"/>
      <c r="O21" s="25"/>
    </row>
    <row r="22" spans="1:15" ht="30.75" customHeight="1" x14ac:dyDescent="0.2">
      <c r="A22" s="25"/>
      <c r="B22" s="25"/>
      <c r="C22" s="25"/>
      <c r="D22" s="25"/>
      <c r="E22" s="25"/>
      <c r="F22" s="25"/>
      <c r="G22" s="25"/>
      <c r="H22" s="25"/>
      <c r="I22" s="25"/>
      <c r="J22" s="25"/>
      <c r="K22" s="25"/>
      <c r="L22" s="25"/>
      <c r="M22" s="25"/>
      <c r="N22" s="25"/>
      <c r="O22" s="25"/>
    </row>
    <row r="23" spans="1:15" ht="30.75" customHeight="1" x14ac:dyDescent="0.2">
      <c r="A23" s="25"/>
      <c r="B23" s="25"/>
      <c r="C23" s="25"/>
      <c r="D23" s="25"/>
      <c r="E23" s="25"/>
      <c r="F23" s="25"/>
      <c r="G23" s="25"/>
      <c r="H23" s="25"/>
      <c r="I23" s="25"/>
      <c r="J23" s="25"/>
      <c r="K23" s="25"/>
      <c r="L23" s="25"/>
      <c r="M23" s="25"/>
      <c r="N23" s="25"/>
      <c r="O23" s="25"/>
    </row>
    <row r="24" spans="1:15" ht="30.75" customHeight="1" x14ac:dyDescent="0.2">
      <c r="A24" s="25"/>
      <c r="B24" s="25"/>
      <c r="C24" s="25"/>
      <c r="D24" s="25"/>
      <c r="E24" s="25"/>
      <c r="F24" s="25"/>
      <c r="G24" s="25"/>
      <c r="H24" s="25"/>
      <c r="I24" s="25"/>
      <c r="J24" s="25"/>
      <c r="K24" s="25"/>
      <c r="L24" s="25"/>
      <c r="M24" s="25"/>
      <c r="N24" s="25"/>
      <c r="O24" s="25"/>
    </row>
    <row r="25" spans="1:15" ht="30.75" customHeight="1" x14ac:dyDescent="0.2">
      <c r="A25" s="25"/>
      <c r="B25" s="25"/>
      <c r="C25" s="25"/>
      <c r="D25" s="25"/>
      <c r="E25" s="25"/>
      <c r="F25" s="25"/>
      <c r="G25" s="25"/>
      <c r="H25" s="25"/>
      <c r="I25" s="25"/>
      <c r="J25" s="25"/>
      <c r="K25" s="25"/>
      <c r="L25" s="25"/>
      <c r="M25" s="25"/>
      <c r="N25" s="25"/>
      <c r="O25" s="25"/>
    </row>
    <row r="26" spans="1:15" ht="30.75" customHeight="1" x14ac:dyDescent="0.2">
      <c r="A26" s="25"/>
      <c r="B26" s="25"/>
      <c r="C26" s="25"/>
      <c r="D26" s="25"/>
      <c r="E26" s="25"/>
      <c r="F26" s="25"/>
      <c r="G26" s="25"/>
      <c r="H26" s="25"/>
      <c r="I26" s="25"/>
      <c r="J26" s="25"/>
      <c r="K26" s="25"/>
      <c r="L26" s="25"/>
      <c r="M26" s="25"/>
      <c r="N26" s="25"/>
      <c r="O26" s="25"/>
    </row>
    <row r="27" spans="1:15" ht="30.75" customHeight="1" x14ac:dyDescent="0.2">
      <c r="A27" s="25"/>
      <c r="B27" s="25"/>
      <c r="C27" s="25"/>
      <c r="D27" s="25"/>
      <c r="E27" s="25"/>
      <c r="F27" s="25"/>
      <c r="G27" s="25"/>
      <c r="H27" s="25"/>
      <c r="I27" s="25"/>
      <c r="J27" s="25"/>
      <c r="K27" s="25"/>
      <c r="L27" s="25"/>
      <c r="M27" s="25"/>
      <c r="N27" s="25"/>
      <c r="O27" s="25"/>
    </row>
    <row r="28" spans="1:15" ht="30.75" customHeight="1" x14ac:dyDescent="0.2">
      <c r="A28" s="25"/>
      <c r="B28" s="25"/>
      <c r="C28" s="25"/>
      <c r="D28" s="25"/>
      <c r="E28" s="25"/>
      <c r="F28" s="25"/>
      <c r="G28" s="25"/>
      <c r="H28" s="25"/>
      <c r="I28" s="25"/>
      <c r="J28" s="25"/>
      <c r="K28" s="25"/>
      <c r="L28" s="25"/>
      <c r="M28" s="25"/>
      <c r="N28" s="25"/>
      <c r="O28" s="25"/>
    </row>
    <row r="29" spans="1:15" ht="30.75" customHeight="1" x14ac:dyDescent="0.2">
      <c r="A29" s="25"/>
      <c r="B29" s="25"/>
      <c r="C29" s="25"/>
      <c r="D29" s="25"/>
      <c r="E29" s="25"/>
      <c r="F29" s="25"/>
      <c r="G29" s="25"/>
      <c r="H29" s="25"/>
      <c r="I29" s="25"/>
      <c r="J29" s="25"/>
      <c r="K29" s="25"/>
      <c r="L29" s="25"/>
      <c r="M29" s="25"/>
      <c r="N29" s="25"/>
      <c r="O29" s="25"/>
    </row>
    <row r="30" spans="1:15" ht="30.75" customHeight="1" x14ac:dyDescent="0.2">
      <c r="A30" s="25"/>
      <c r="B30" s="25"/>
      <c r="C30" s="25"/>
      <c r="D30" s="25"/>
      <c r="E30" s="25"/>
      <c r="F30" s="25"/>
      <c r="G30" s="25"/>
      <c r="H30" s="25"/>
      <c r="I30" s="25"/>
      <c r="J30" s="25"/>
      <c r="K30" s="25"/>
      <c r="L30" s="25"/>
      <c r="M30" s="25"/>
      <c r="N30" s="25"/>
      <c r="O30" s="25"/>
    </row>
    <row r="31" spans="1:15" ht="30.75" customHeight="1" x14ac:dyDescent="0.2">
      <c r="A31" s="25"/>
      <c r="B31" s="25"/>
      <c r="C31" s="25"/>
      <c r="D31" s="25"/>
      <c r="E31" s="25"/>
      <c r="F31" s="25"/>
      <c r="G31" s="25"/>
      <c r="H31" s="25"/>
      <c r="I31" s="25"/>
      <c r="J31" s="25"/>
      <c r="K31" s="25"/>
      <c r="L31" s="25"/>
      <c r="M31" s="25"/>
      <c r="N31" s="25"/>
      <c r="O31" s="25"/>
    </row>
    <row r="32" spans="1:15" ht="30.75" customHeight="1" x14ac:dyDescent="0.2">
      <c r="A32" s="25"/>
      <c r="B32" s="25"/>
      <c r="C32" s="25"/>
      <c r="D32" s="25"/>
      <c r="E32" s="25"/>
      <c r="F32" s="25"/>
      <c r="G32" s="25"/>
      <c r="H32" s="25"/>
      <c r="I32" s="25"/>
      <c r="J32" s="25"/>
      <c r="K32" s="25"/>
      <c r="L32" s="25"/>
      <c r="M32" s="25"/>
      <c r="N32" s="25"/>
      <c r="O32" s="25"/>
    </row>
    <row r="33" spans="1:15" ht="30.75" customHeight="1" x14ac:dyDescent="0.2">
      <c r="A33" s="25"/>
      <c r="B33" s="25"/>
      <c r="C33" s="25"/>
      <c r="D33" s="25"/>
      <c r="E33" s="25"/>
      <c r="F33" s="25"/>
      <c r="G33" s="25"/>
      <c r="H33" s="25"/>
      <c r="I33" s="25"/>
      <c r="J33" s="25"/>
      <c r="K33" s="25"/>
      <c r="L33" s="25"/>
      <c r="M33" s="25"/>
      <c r="N33" s="25"/>
      <c r="O33" s="25"/>
    </row>
    <row r="34" spans="1:15" ht="30.75" customHeight="1" x14ac:dyDescent="0.2">
      <c r="A34" s="25"/>
      <c r="B34" s="25"/>
      <c r="C34" s="25"/>
      <c r="D34" s="25"/>
      <c r="E34" s="25"/>
      <c r="F34" s="25"/>
      <c r="G34" s="25"/>
      <c r="H34" s="25"/>
      <c r="I34" s="25"/>
      <c r="J34" s="25"/>
      <c r="K34" s="25"/>
      <c r="L34" s="25"/>
      <c r="M34" s="25"/>
      <c r="N34" s="25"/>
      <c r="O34" s="25"/>
    </row>
    <row r="35" spans="1:15" ht="30.75" customHeight="1" x14ac:dyDescent="0.2">
      <c r="A35" s="25"/>
      <c r="B35" s="25"/>
      <c r="C35" s="25"/>
      <c r="D35" s="25"/>
      <c r="E35" s="25"/>
      <c r="F35" s="25"/>
      <c r="G35" s="25"/>
      <c r="H35" s="25"/>
      <c r="I35" s="25"/>
      <c r="J35" s="25"/>
      <c r="K35" s="25"/>
      <c r="L35" s="25"/>
      <c r="M35" s="25"/>
      <c r="N35" s="25"/>
      <c r="O35" s="25"/>
    </row>
    <row r="36" spans="1:15" ht="30.75" customHeight="1" x14ac:dyDescent="0.2">
      <c r="A36" s="25"/>
      <c r="B36" s="25"/>
      <c r="C36" s="25"/>
      <c r="D36" s="25"/>
      <c r="E36" s="25"/>
      <c r="F36" s="25"/>
      <c r="G36" s="25"/>
      <c r="H36" s="25"/>
      <c r="I36" s="25"/>
      <c r="J36" s="25"/>
      <c r="K36" s="25"/>
      <c r="L36" s="25"/>
      <c r="M36" s="25"/>
      <c r="N36" s="25"/>
      <c r="O36" s="25"/>
    </row>
    <row r="37" spans="1:15" ht="30.75" customHeight="1" x14ac:dyDescent="0.2">
      <c r="A37" s="25"/>
      <c r="B37" s="25"/>
      <c r="C37" s="25"/>
      <c r="D37" s="25"/>
      <c r="E37" s="25"/>
      <c r="F37" s="25"/>
      <c r="G37" s="25"/>
      <c r="H37" s="25"/>
      <c r="I37" s="25"/>
      <c r="J37" s="25"/>
      <c r="K37" s="25"/>
      <c r="L37" s="25"/>
      <c r="M37" s="25"/>
      <c r="N37" s="25"/>
      <c r="O37" s="25"/>
    </row>
    <row r="38" spans="1:15" ht="30.75" customHeight="1" x14ac:dyDescent="0.2">
      <c r="A38" s="25"/>
      <c r="B38" s="25"/>
      <c r="C38" s="25"/>
      <c r="D38" s="25"/>
      <c r="E38" s="25"/>
      <c r="F38" s="25"/>
      <c r="G38" s="25"/>
      <c r="H38" s="25"/>
      <c r="I38" s="25"/>
      <c r="J38" s="25"/>
      <c r="K38" s="25"/>
      <c r="L38" s="25"/>
      <c r="M38" s="25"/>
      <c r="N38" s="25"/>
      <c r="O38" s="25"/>
    </row>
    <row r="39" spans="1:15" ht="30.75" customHeight="1" x14ac:dyDescent="0.2">
      <c r="A39" s="25"/>
      <c r="B39" s="25"/>
      <c r="C39" s="25"/>
      <c r="D39" s="25"/>
      <c r="E39" s="25"/>
      <c r="F39" s="25"/>
      <c r="G39" s="25"/>
      <c r="H39" s="25"/>
      <c r="I39" s="25"/>
      <c r="J39" s="25"/>
      <c r="K39" s="25"/>
      <c r="L39" s="25"/>
      <c r="M39" s="25"/>
      <c r="N39" s="25"/>
      <c r="O39" s="25"/>
    </row>
    <row r="40" spans="1:15" ht="30.75" customHeight="1" x14ac:dyDescent="0.2">
      <c r="A40" s="25"/>
      <c r="B40" s="25"/>
      <c r="C40" s="25"/>
      <c r="D40" s="25"/>
      <c r="E40" s="25"/>
      <c r="F40" s="25"/>
      <c r="G40" s="25"/>
      <c r="H40" s="25"/>
      <c r="I40" s="25"/>
      <c r="J40" s="25"/>
      <c r="K40" s="25"/>
      <c r="L40" s="25"/>
      <c r="M40" s="25"/>
      <c r="N40" s="25"/>
      <c r="O40" s="25"/>
    </row>
    <row r="41" spans="1:15" ht="30.75" customHeight="1" x14ac:dyDescent="0.2">
      <c r="A41" s="25"/>
      <c r="B41" s="25"/>
      <c r="C41" s="25"/>
      <c r="D41" s="25"/>
      <c r="E41" s="25"/>
      <c r="F41" s="25"/>
      <c r="G41" s="25"/>
      <c r="H41" s="25"/>
      <c r="I41" s="25"/>
      <c r="J41" s="25"/>
      <c r="K41" s="25"/>
      <c r="L41" s="25"/>
      <c r="M41" s="25"/>
      <c r="N41" s="25"/>
      <c r="O41" s="25"/>
    </row>
    <row r="42" spans="1:15" ht="30.75" customHeight="1" x14ac:dyDescent="0.2">
      <c r="A42" s="25"/>
      <c r="B42" s="25"/>
      <c r="C42" s="25"/>
      <c r="D42" s="25"/>
      <c r="E42" s="25"/>
      <c r="F42" s="25"/>
      <c r="G42" s="25"/>
      <c r="H42" s="25"/>
      <c r="I42" s="25"/>
      <c r="J42" s="25"/>
      <c r="K42" s="25"/>
      <c r="L42" s="25"/>
      <c r="M42" s="25"/>
      <c r="N42" s="25"/>
      <c r="O42" s="25"/>
    </row>
    <row r="43" spans="1:15" ht="30.75" customHeight="1" x14ac:dyDescent="0.2">
      <c r="A43" s="25"/>
      <c r="B43" s="25"/>
      <c r="C43" s="25"/>
      <c r="D43" s="25"/>
      <c r="E43" s="25"/>
      <c r="F43" s="25"/>
      <c r="G43" s="25"/>
      <c r="H43" s="25"/>
      <c r="I43" s="25"/>
      <c r="J43" s="25"/>
      <c r="K43" s="25"/>
      <c r="L43" s="25"/>
      <c r="M43" s="25"/>
      <c r="N43" s="25"/>
      <c r="O43" s="25"/>
    </row>
  </sheetData>
  <mergeCells count="43">
    <mergeCell ref="A11:O11"/>
    <mergeCell ref="A12:O12"/>
    <mergeCell ref="A13:O13"/>
    <mergeCell ref="A14:O14"/>
    <mergeCell ref="A6:O6"/>
    <mergeCell ref="A7:O7"/>
    <mergeCell ref="A8:O8"/>
    <mergeCell ref="A9:O9"/>
    <mergeCell ref="A10:O10"/>
    <mergeCell ref="A1:O1"/>
    <mergeCell ref="A2:O2"/>
    <mergeCell ref="A3:O3"/>
    <mergeCell ref="A4:O4"/>
    <mergeCell ref="A5:O5"/>
    <mergeCell ref="A15:O15"/>
    <mergeCell ref="A16:O16"/>
    <mergeCell ref="A17:O17"/>
    <mergeCell ref="A18:O18"/>
    <mergeCell ref="A19:O19"/>
    <mergeCell ref="A20:O20"/>
    <mergeCell ref="A21:O21"/>
    <mergeCell ref="A22:O22"/>
    <mergeCell ref="A23:O23"/>
    <mergeCell ref="A24:O24"/>
    <mergeCell ref="A25:O25"/>
    <mergeCell ref="A26:O26"/>
    <mergeCell ref="A27:O27"/>
    <mergeCell ref="A28:O28"/>
    <mergeCell ref="A29:O29"/>
    <mergeCell ref="A30:O30"/>
    <mergeCell ref="A31:O31"/>
    <mergeCell ref="A32:O32"/>
    <mergeCell ref="A33:O33"/>
    <mergeCell ref="A34:O34"/>
    <mergeCell ref="A40:O40"/>
    <mergeCell ref="A41:O41"/>
    <mergeCell ref="A42:O42"/>
    <mergeCell ref="A43:O43"/>
    <mergeCell ref="A35:O35"/>
    <mergeCell ref="A36:O36"/>
    <mergeCell ref="A37:O37"/>
    <mergeCell ref="A38:O38"/>
    <mergeCell ref="A39:O3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D8AF8-29A0-4E88-8DAC-F9FB70F00C27}">
  <dimension ref="A1:AA1000"/>
  <sheetViews>
    <sheetView zoomScale="85" zoomScaleNormal="85" workbookViewId="0">
      <selection activeCell="B8" sqref="B8:L8"/>
    </sheetView>
  </sheetViews>
  <sheetFormatPr baseColWidth="10" defaultColWidth="12.5703125" defaultRowHeight="15" customHeight="1" x14ac:dyDescent="0.2"/>
  <cols>
    <col min="1" max="4" width="19.140625" style="32" customWidth="1"/>
    <col min="5" max="5" width="21.85546875" style="32" customWidth="1"/>
    <col min="6" max="7" width="17" style="32" customWidth="1"/>
    <col min="8" max="8" width="18" style="32" customWidth="1"/>
    <col min="9" max="9" width="17" style="32" customWidth="1"/>
    <col min="10" max="11" width="19.140625" style="32" customWidth="1"/>
    <col min="12" max="12" width="27.5703125" style="32" customWidth="1"/>
    <col min="13" max="27" width="10" style="32" customWidth="1"/>
    <col min="28" max="16384" width="12.5703125" style="32"/>
  </cols>
  <sheetData>
    <row r="1" spans="1:27" ht="12.75" customHeight="1" x14ac:dyDescent="0.2">
      <c r="A1" s="34"/>
      <c r="B1" s="33"/>
      <c r="C1" s="33"/>
      <c r="D1" s="33"/>
      <c r="E1" s="33"/>
      <c r="F1" s="33"/>
      <c r="G1" s="33"/>
      <c r="H1" s="33"/>
      <c r="I1" s="33"/>
      <c r="J1" s="33"/>
      <c r="K1" s="33"/>
      <c r="L1" s="33"/>
    </row>
    <row r="2" spans="1:27" ht="27.75" customHeight="1" x14ac:dyDescent="0.2">
      <c r="A2" s="54" t="s">
        <v>163</v>
      </c>
      <c r="B2" s="54"/>
      <c r="C2" s="54"/>
      <c r="D2" s="54"/>
      <c r="E2" s="54"/>
      <c r="F2" s="54"/>
      <c r="G2" s="54"/>
      <c r="H2" s="54"/>
      <c r="I2" s="54"/>
      <c r="J2" s="54"/>
      <c r="K2" s="54"/>
      <c r="L2" s="54"/>
    </row>
    <row r="3" spans="1:27" ht="12.75" customHeight="1" x14ac:dyDescent="0.2">
      <c r="A3" s="33"/>
      <c r="B3" s="33"/>
      <c r="C3" s="33"/>
      <c r="D3" s="33"/>
      <c r="E3" s="33"/>
      <c r="F3" s="33"/>
      <c r="G3" s="33"/>
      <c r="H3" s="33"/>
      <c r="I3" s="33"/>
      <c r="J3" s="33"/>
      <c r="K3" s="33"/>
      <c r="L3" s="33"/>
    </row>
    <row r="4" spans="1:27" ht="12.75" customHeight="1" x14ac:dyDescent="0.2">
      <c r="A4" s="33"/>
      <c r="B4" s="33"/>
      <c r="C4" s="33"/>
      <c r="D4" s="33"/>
      <c r="E4" s="33"/>
      <c r="F4" s="33"/>
      <c r="G4" s="33"/>
      <c r="H4" s="33"/>
      <c r="I4" s="33"/>
      <c r="J4" s="33"/>
      <c r="K4" s="33"/>
      <c r="L4" s="33"/>
    </row>
    <row r="5" spans="1:27" ht="43.5" customHeight="1" x14ac:dyDescent="0.2">
      <c r="A5" s="53" t="s">
        <v>1</v>
      </c>
      <c r="B5" s="52"/>
      <c r="C5" s="52"/>
      <c r="D5" s="52"/>
      <c r="E5" s="52"/>
      <c r="F5" s="52"/>
      <c r="G5" s="52"/>
      <c r="H5" s="52"/>
      <c r="I5" s="52"/>
      <c r="J5" s="52"/>
      <c r="K5" s="52"/>
      <c r="L5" s="52"/>
    </row>
    <row r="6" spans="1:27" ht="15.75" customHeight="1" x14ac:dyDescent="0.2">
      <c r="A6" s="33"/>
      <c r="B6" s="33"/>
      <c r="C6" s="33"/>
      <c r="D6" s="33"/>
      <c r="E6" s="33"/>
      <c r="F6" s="33"/>
      <c r="G6" s="33"/>
      <c r="H6" s="33"/>
      <c r="I6" s="33"/>
      <c r="J6" s="33"/>
      <c r="K6" s="33"/>
      <c r="L6" s="33"/>
    </row>
    <row r="7" spans="1:27" ht="75.75" customHeight="1" x14ac:dyDescent="0.2">
      <c r="A7" s="51" t="s">
        <v>2</v>
      </c>
      <c r="B7" s="48" t="s">
        <v>162</v>
      </c>
      <c r="C7" s="48" t="s">
        <v>161</v>
      </c>
      <c r="D7" s="48" t="s">
        <v>14</v>
      </c>
      <c r="E7" s="48" t="s">
        <v>160</v>
      </c>
      <c r="F7" s="48" t="s">
        <v>159</v>
      </c>
      <c r="G7" s="50" t="s">
        <v>158</v>
      </c>
      <c r="H7" s="49" t="s">
        <v>157</v>
      </c>
      <c r="I7" s="48" t="s">
        <v>156</v>
      </c>
      <c r="J7" s="48" t="s">
        <v>155</v>
      </c>
      <c r="K7" s="47" t="s">
        <v>154</v>
      </c>
      <c r="L7" s="46" t="s">
        <v>23</v>
      </c>
      <c r="M7" s="45"/>
      <c r="N7" s="45"/>
      <c r="O7" s="45"/>
      <c r="P7" s="45"/>
      <c r="Q7" s="45"/>
      <c r="R7" s="45"/>
      <c r="S7" s="45"/>
      <c r="T7" s="45"/>
      <c r="U7" s="45"/>
      <c r="V7" s="45"/>
      <c r="W7" s="45"/>
      <c r="X7" s="45"/>
      <c r="Y7" s="45"/>
      <c r="Z7" s="45"/>
      <c r="AA7" s="45"/>
    </row>
    <row r="8" spans="1:27" ht="105" customHeight="1" x14ac:dyDescent="0.2">
      <c r="A8" s="42" t="s">
        <v>3</v>
      </c>
      <c r="B8" s="44" t="s">
        <v>153</v>
      </c>
      <c r="C8" s="44" t="s">
        <v>152</v>
      </c>
      <c r="D8" s="44" t="s">
        <v>151</v>
      </c>
      <c r="E8" s="44" t="s">
        <v>150</v>
      </c>
      <c r="F8" s="221">
        <v>1520000</v>
      </c>
      <c r="G8" s="221">
        <v>1808800</v>
      </c>
      <c r="H8" s="221">
        <v>452</v>
      </c>
      <c r="I8" s="44" t="s">
        <v>136</v>
      </c>
      <c r="J8" s="44" t="s">
        <v>149</v>
      </c>
      <c r="K8" s="44" t="s">
        <v>148</v>
      </c>
      <c r="L8" s="60" t="s">
        <v>147</v>
      </c>
    </row>
    <row r="9" spans="1:27" ht="105" customHeight="1" x14ac:dyDescent="0.2">
      <c r="A9" s="42" t="s">
        <v>4</v>
      </c>
      <c r="B9" s="44" t="s">
        <v>146</v>
      </c>
      <c r="C9" s="44" t="s">
        <v>145</v>
      </c>
      <c r="D9" s="44" t="s">
        <v>144</v>
      </c>
      <c r="E9" s="44" t="s">
        <v>143</v>
      </c>
      <c r="F9" s="221">
        <v>1480000</v>
      </c>
      <c r="G9" s="221">
        <v>1761200</v>
      </c>
      <c r="H9" s="221">
        <v>440</v>
      </c>
      <c r="I9" s="44" t="s">
        <v>136</v>
      </c>
      <c r="J9" s="44" t="s">
        <v>20</v>
      </c>
      <c r="K9" s="43" t="s">
        <v>142</v>
      </c>
      <c r="L9" s="60" t="s">
        <v>141</v>
      </c>
    </row>
    <row r="10" spans="1:27" ht="105" customHeight="1" x14ac:dyDescent="0.2">
      <c r="A10" s="42" t="s">
        <v>5</v>
      </c>
      <c r="B10" s="44" t="s">
        <v>140</v>
      </c>
      <c r="C10" s="44" t="s">
        <v>139</v>
      </c>
      <c r="D10" s="44" t="s">
        <v>138</v>
      </c>
      <c r="E10" s="44" t="s">
        <v>137</v>
      </c>
      <c r="F10" s="221">
        <v>1550000</v>
      </c>
      <c r="G10" s="221">
        <v>1844500</v>
      </c>
      <c r="H10" s="221">
        <v>461</v>
      </c>
      <c r="I10" s="44" t="s">
        <v>136</v>
      </c>
      <c r="J10" s="44" t="s">
        <v>135</v>
      </c>
      <c r="K10" s="44" t="s">
        <v>134</v>
      </c>
      <c r="L10" s="44" t="s">
        <v>133</v>
      </c>
    </row>
    <row r="11" spans="1:27" ht="15" hidden="1" customHeight="1" x14ac:dyDescent="0.2">
      <c r="A11" s="40"/>
      <c r="B11" s="39"/>
      <c r="C11" s="39"/>
      <c r="D11" s="39"/>
      <c r="E11" s="39"/>
      <c r="F11" s="39"/>
      <c r="G11" s="39"/>
      <c r="H11" s="39"/>
      <c r="I11" s="39"/>
      <c r="J11" s="39"/>
      <c r="K11" s="39"/>
      <c r="L11" s="34"/>
    </row>
    <row r="12" spans="1:27" ht="12.75" customHeight="1" x14ac:dyDescent="0.2">
      <c r="A12" s="34"/>
      <c r="B12" s="34"/>
      <c r="C12" s="34"/>
      <c r="D12" s="34"/>
      <c r="E12" s="34"/>
      <c r="F12" s="34"/>
      <c r="G12" s="34"/>
      <c r="H12" s="34"/>
      <c r="I12" s="34"/>
      <c r="J12" s="34"/>
      <c r="K12" s="34"/>
      <c r="L12" s="34"/>
    </row>
    <row r="13" spans="1:27" ht="138.75" customHeight="1" x14ac:dyDescent="0.2">
      <c r="A13" s="38" t="s">
        <v>7</v>
      </c>
      <c r="B13" s="58"/>
      <c r="C13" s="58"/>
      <c r="D13" s="58"/>
      <c r="E13" s="58"/>
      <c r="F13" s="58"/>
      <c r="G13" s="58"/>
      <c r="H13" s="58"/>
      <c r="I13" s="58"/>
      <c r="J13" s="58"/>
      <c r="K13" s="57"/>
      <c r="L13" s="34"/>
    </row>
    <row r="14" spans="1:27" ht="12.75" customHeight="1" x14ac:dyDescent="0.2">
      <c r="A14" s="34"/>
      <c r="B14" s="34"/>
      <c r="C14" s="34"/>
      <c r="D14" s="34"/>
      <c r="E14" s="34"/>
      <c r="F14" s="34"/>
      <c r="G14" s="34"/>
      <c r="H14" s="34"/>
      <c r="I14" s="34"/>
      <c r="J14" s="34"/>
      <c r="K14" s="34"/>
      <c r="L14" s="34"/>
    </row>
    <row r="15" spans="1:27" ht="75" customHeight="1" x14ac:dyDescent="0.2">
      <c r="A15" s="38" t="s">
        <v>8</v>
      </c>
      <c r="B15" s="58"/>
      <c r="C15" s="58"/>
      <c r="D15" s="58"/>
      <c r="E15" s="58"/>
      <c r="F15" s="58"/>
      <c r="G15" s="58"/>
      <c r="H15" s="58"/>
      <c r="I15" s="58"/>
      <c r="J15" s="58"/>
      <c r="K15" s="57"/>
      <c r="L15" s="34"/>
    </row>
    <row r="16" spans="1:27" ht="12.75" customHeight="1" x14ac:dyDescent="0.2">
      <c r="A16" s="34"/>
      <c r="B16" s="34"/>
      <c r="C16" s="34"/>
      <c r="D16" s="34"/>
      <c r="E16" s="34"/>
      <c r="F16" s="34"/>
      <c r="G16" s="34"/>
      <c r="H16" s="34"/>
      <c r="I16" s="34"/>
      <c r="J16" s="34"/>
      <c r="K16" s="34"/>
      <c r="L16" s="34"/>
    </row>
    <row r="17" spans="1:12" ht="12.75" customHeight="1" x14ac:dyDescent="0.2">
      <c r="A17" s="34"/>
      <c r="B17" s="34"/>
      <c r="C17" s="34"/>
      <c r="D17" s="34"/>
      <c r="E17" s="34"/>
      <c r="F17" s="34"/>
      <c r="G17" s="34"/>
      <c r="H17" s="34"/>
      <c r="I17" s="34"/>
      <c r="J17" s="34"/>
      <c r="K17" s="34"/>
      <c r="L17" s="34"/>
    </row>
    <row r="18" spans="1:12" ht="12.75" customHeight="1" x14ac:dyDescent="0.2">
      <c r="A18" s="34"/>
      <c r="B18" s="34"/>
      <c r="C18" s="34"/>
      <c r="D18" s="34"/>
      <c r="E18" s="34"/>
      <c r="F18" s="34"/>
      <c r="G18" s="34"/>
      <c r="H18" s="34"/>
      <c r="I18" s="34"/>
      <c r="J18" s="34"/>
      <c r="K18" s="34"/>
      <c r="L18" s="34"/>
    </row>
    <row r="19" spans="1:12" ht="12.75" customHeight="1" x14ac:dyDescent="0.2">
      <c r="A19" s="34"/>
      <c r="B19" s="34"/>
      <c r="C19" s="34"/>
      <c r="D19" s="34"/>
      <c r="E19" s="34"/>
      <c r="F19" s="34"/>
      <c r="G19" s="34"/>
      <c r="H19" s="34"/>
      <c r="I19" s="34"/>
      <c r="J19" s="34"/>
      <c r="K19" s="34"/>
      <c r="L19" s="34"/>
    </row>
    <row r="20" spans="1:12" ht="12.75" customHeight="1" x14ac:dyDescent="0.2">
      <c r="A20" s="34"/>
      <c r="B20" s="34"/>
      <c r="C20" s="34"/>
      <c r="D20" s="34"/>
      <c r="E20" s="34"/>
      <c r="F20" s="34"/>
      <c r="G20" s="34"/>
      <c r="H20" s="34"/>
      <c r="I20" s="34"/>
      <c r="J20" s="34"/>
      <c r="K20" s="34"/>
      <c r="L20" s="34"/>
    </row>
    <row r="21" spans="1:12" ht="12.75" customHeight="1" x14ac:dyDescent="0.2">
      <c r="A21" s="34"/>
      <c r="B21" s="34"/>
      <c r="C21" s="34"/>
      <c r="D21" s="34"/>
      <c r="E21" s="34"/>
      <c r="F21" s="34"/>
      <c r="G21" s="34"/>
      <c r="H21" s="34"/>
      <c r="I21" s="34"/>
      <c r="J21" s="34"/>
      <c r="K21" s="34"/>
      <c r="L21" s="34"/>
    </row>
    <row r="22" spans="1:12" ht="12.75" customHeight="1" x14ac:dyDescent="0.2">
      <c r="A22" s="34"/>
      <c r="B22" s="34"/>
      <c r="C22" s="34"/>
      <c r="D22" s="34"/>
      <c r="E22" s="34"/>
      <c r="F22" s="34"/>
      <c r="G22" s="34"/>
      <c r="H22" s="34"/>
      <c r="I22" s="34"/>
      <c r="J22" s="34"/>
      <c r="K22" s="34"/>
      <c r="L22" s="34"/>
    </row>
    <row r="23" spans="1:12" ht="12.75" customHeight="1" x14ac:dyDescent="0.2">
      <c r="A23" s="34"/>
      <c r="B23" s="34"/>
      <c r="C23" s="34"/>
      <c r="D23" s="34"/>
      <c r="E23" s="34"/>
      <c r="F23" s="34"/>
      <c r="G23" s="34"/>
      <c r="H23" s="34"/>
      <c r="I23" s="34"/>
      <c r="J23" s="34"/>
      <c r="K23" s="34"/>
      <c r="L23" s="34"/>
    </row>
    <row r="24" spans="1:12" ht="12.75" customHeight="1" x14ac:dyDescent="0.2">
      <c r="A24" s="34"/>
      <c r="B24" s="34"/>
      <c r="C24" s="34"/>
      <c r="D24" s="34"/>
      <c r="E24" s="34"/>
      <c r="F24" s="34"/>
      <c r="G24" s="34"/>
      <c r="H24" s="34"/>
      <c r="I24" s="34"/>
      <c r="J24" s="34"/>
      <c r="K24" s="34"/>
      <c r="L24" s="34"/>
    </row>
    <row r="25" spans="1:12" ht="12.75" customHeight="1" x14ac:dyDescent="0.2">
      <c r="A25" s="34"/>
      <c r="B25" s="34"/>
      <c r="C25" s="34"/>
      <c r="D25" s="34"/>
      <c r="E25" s="34"/>
      <c r="F25" s="34"/>
      <c r="G25" s="34"/>
      <c r="H25" s="34"/>
      <c r="I25" s="34"/>
      <c r="J25" s="34"/>
      <c r="K25" s="34"/>
      <c r="L25" s="34"/>
    </row>
    <row r="26" spans="1:12" ht="12.75" customHeight="1" x14ac:dyDescent="0.2">
      <c r="A26" s="34"/>
      <c r="B26" s="34"/>
      <c r="C26" s="34"/>
      <c r="D26" s="34"/>
      <c r="E26" s="35"/>
      <c r="F26" s="35"/>
      <c r="G26" s="34"/>
      <c r="H26" s="34"/>
      <c r="I26" s="34"/>
      <c r="J26" s="34"/>
      <c r="K26" s="34"/>
      <c r="L26" s="34"/>
    </row>
    <row r="27" spans="1:12" ht="12.75" customHeight="1" x14ac:dyDescent="0.2">
      <c r="A27" s="34"/>
      <c r="B27" s="34"/>
      <c r="C27" s="34"/>
      <c r="D27" s="34"/>
      <c r="E27" s="34"/>
      <c r="F27" s="34"/>
      <c r="G27" s="34"/>
      <c r="H27" s="34"/>
      <c r="I27" s="34"/>
      <c r="J27" s="34"/>
      <c r="K27" s="34"/>
      <c r="L27" s="34"/>
    </row>
    <row r="28" spans="1:12" ht="12.75" customHeight="1" x14ac:dyDescent="0.2">
      <c r="A28" s="34"/>
      <c r="B28" s="34"/>
      <c r="C28" s="34"/>
      <c r="D28" s="34"/>
      <c r="E28" s="34"/>
      <c r="F28" s="34"/>
      <c r="G28" s="34"/>
      <c r="H28" s="34"/>
      <c r="I28" s="34"/>
      <c r="J28" s="34"/>
      <c r="K28" s="34"/>
      <c r="L28" s="34"/>
    </row>
    <row r="29" spans="1:12" ht="12.75" customHeight="1" x14ac:dyDescent="0.2">
      <c r="A29" s="34"/>
      <c r="B29" s="34"/>
      <c r="C29" s="34"/>
      <c r="D29" s="34"/>
      <c r="E29" s="34"/>
      <c r="F29" s="34"/>
      <c r="G29" s="34"/>
      <c r="H29" s="34"/>
      <c r="I29" s="34"/>
      <c r="J29" s="34"/>
      <c r="K29" s="34"/>
      <c r="L29" s="34"/>
    </row>
    <row r="30" spans="1:12" ht="12.75" customHeight="1" x14ac:dyDescent="0.2">
      <c r="A30" s="34"/>
      <c r="B30" s="34"/>
      <c r="C30" s="34"/>
      <c r="D30" s="34"/>
      <c r="E30" s="34"/>
      <c r="F30" s="34"/>
      <c r="G30" s="34"/>
      <c r="H30" s="34"/>
      <c r="I30" s="34"/>
      <c r="J30" s="34"/>
      <c r="K30" s="34"/>
      <c r="L30" s="34"/>
    </row>
    <row r="31" spans="1:12" ht="12.75" customHeight="1" x14ac:dyDescent="0.2">
      <c r="A31" s="34"/>
      <c r="B31" s="34"/>
      <c r="C31" s="34"/>
      <c r="D31" s="34"/>
      <c r="E31" s="34"/>
      <c r="F31" s="34"/>
      <c r="G31" s="34"/>
      <c r="H31" s="34"/>
      <c r="I31" s="34"/>
      <c r="J31" s="34"/>
      <c r="K31" s="34"/>
      <c r="L31" s="34"/>
    </row>
    <row r="32" spans="1:12" ht="12.75" customHeight="1" x14ac:dyDescent="0.2">
      <c r="A32" s="222"/>
      <c r="B32" s="222"/>
      <c r="C32" s="222"/>
      <c r="D32" s="222"/>
      <c r="E32" s="222"/>
      <c r="F32" s="222"/>
      <c r="G32" s="222"/>
      <c r="H32" s="222"/>
      <c r="I32" s="222"/>
      <c r="J32" s="222"/>
      <c r="K32" s="222"/>
      <c r="L32" s="222"/>
    </row>
    <row r="33" spans="1:12" ht="12.75" customHeight="1" x14ac:dyDescent="0.2">
      <c r="A33" s="222"/>
      <c r="B33" s="222"/>
      <c r="C33" s="222"/>
      <c r="D33" s="222"/>
      <c r="E33" s="222"/>
      <c r="F33" s="222"/>
      <c r="G33" s="222"/>
      <c r="H33" s="222"/>
      <c r="I33" s="222"/>
      <c r="J33" s="222"/>
      <c r="K33" s="222"/>
      <c r="L33" s="222"/>
    </row>
    <row r="34" spans="1:12" ht="12.75" customHeight="1" x14ac:dyDescent="0.2"/>
    <row r="35" spans="1:12" ht="12.75" customHeight="1" x14ac:dyDescent="0.2"/>
    <row r="36" spans="1:12" ht="12.75" customHeight="1" x14ac:dyDescent="0.2"/>
    <row r="37" spans="1:12" ht="12.75" customHeight="1" x14ac:dyDescent="0.2"/>
    <row r="38" spans="1:12" ht="12.75" customHeight="1" x14ac:dyDescent="0.2"/>
    <row r="39" spans="1:12" ht="12.75" customHeight="1" x14ac:dyDescent="0.2"/>
    <row r="40" spans="1:12" ht="12.75" customHeight="1" x14ac:dyDescent="0.2"/>
    <row r="41" spans="1:12" ht="12.75" customHeight="1" x14ac:dyDescent="0.2"/>
    <row r="42" spans="1:12" ht="12.75" customHeight="1" x14ac:dyDescent="0.2"/>
    <row r="43" spans="1:12" ht="12.75" customHeight="1" x14ac:dyDescent="0.2"/>
    <row r="44" spans="1:12" ht="12.75" customHeight="1" x14ac:dyDescent="0.2"/>
    <row r="45" spans="1:12" ht="12.75" customHeight="1" x14ac:dyDescent="0.2"/>
    <row r="46" spans="1:12" ht="12.75" customHeight="1" x14ac:dyDescent="0.2"/>
    <row r="47" spans="1:12" ht="12.75" customHeight="1" x14ac:dyDescent="0.2"/>
    <row r="48" spans="1:12"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4">
    <mergeCell ref="A13:K13"/>
    <mergeCell ref="A15:K15"/>
    <mergeCell ref="A5:L5"/>
    <mergeCell ref="A2:L2"/>
  </mergeCells>
  <hyperlinks>
    <hyperlink ref="L8" r:id="rId1" xr:uid="{5132B3C1-49C5-414E-B700-BA61D2800027}"/>
    <hyperlink ref="L9" r:id="rId2" xr:uid="{F0469FF2-6711-4A26-A9E1-1A1870FE1688}"/>
  </hyperlinks>
  <pageMargins left="0.7" right="0.7" top="0.75" bottom="0.75" header="0" footer="0"/>
  <pageSetup orientation="landscap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9DB4A-FD5C-43EE-87EC-4B185DFA21DB}">
  <dimension ref="A1:AA1000"/>
  <sheetViews>
    <sheetView workbookViewId="0">
      <selection activeCell="B9" sqref="B9:L9"/>
    </sheetView>
  </sheetViews>
  <sheetFormatPr baseColWidth="10" defaultColWidth="12.5703125" defaultRowHeight="15" customHeight="1" x14ac:dyDescent="0.2"/>
  <cols>
    <col min="1" max="4" width="19.140625" style="32" customWidth="1"/>
    <col min="5" max="5" width="21.85546875" style="32" customWidth="1"/>
    <col min="6" max="7" width="17" style="32" customWidth="1"/>
    <col min="8" max="8" width="18" style="32" customWidth="1"/>
    <col min="9" max="9" width="17" style="32" customWidth="1"/>
    <col min="10" max="11" width="19.140625" style="32" customWidth="1"/>
    <col min="12" max="12" width="24.140625" style="32" customWidth="1"/>
    <col min="13" max="27" width="10" style="32" customWidth="1"/>
    <col min="28" max="16384" width="12.5703125" style="32"/>
  </cols>
  <sheetData>
    <row r="1" spans="1:27" ht="12.75" customHeight="1" x14ac:dyDescent="0.2">
      <c r="A1" s="34"/>
      <c r="B1" s="34"/>
      <c r="C1" s="34"/>
      <c r="D1" s="34"/>
      <c r="E1" s="34"/>
      <c r="F1" s="34"/>
      <c r="G1" s="34"/>
      <c r="H1" s="34"/>
      <c r="I1" s="34"/>
      <c r="J1" s="34"/>
      <c r="K1" s="34"/>
      <c r="L1" s="34"/>
      <c r="M1" s="33"/>
    </row>
    <row r="2" spans="1:27" ht="27.75" customHeight="1" x14ac:dyDescent="0.2">
      <c r="A2" s="54" t="s">
        <v>163</v>
      </c>
      <c r="B2" s="54"/>
      <c r="C2" s="54"/>
      <c r="D2" s="54"/>
      <c r="E2" s="54"/>
      <c r="F2" s="54"/>
      <c r="G2" s="54"/>
      <c r="H2" s="54"/>
      <c r="I2" s="54"/>
      <c r="J2" s="54"/>
      <c r="K2" s="54"/>
      <c r="L2" s="54"/>
      <c r="M2" s="33"/>
    </row>
    <row r="3" spans="1:27" ht="12.75" customHeight="1" x14ac:dyDescent="0.2">
      <c r="A3" s="34"/>
      <c r="B3" s="34"/>
      <c r="C3" s="34"/>
      <c r="D3" s="34"/>
      <c r="E3" s="34"/>
      <c r="F3" s="34"/>
      <c r="G3" s="34"/>
      <c r="H3" s="34"/>
      <c r="I3" s="34"/>
      <c r="J3" s="34"/>
      <c r="K3" s="34"/>
      <c r="L3" s="34"/>
      <c r="M3" s="33"/>
    </row>
    <row r="4" spans="1:27" ht="12.75" customHeight="1" x14ac:dyDescent="0.2">
      <c r="A4" s="34"/>
      <c r="B4" s="34"/>
      <c r="C4" s="34"/>
      <c r="D4" s="34"/>
      <c r="E4" s="34"/>
      <c r="F4" s="34"/>
      <c r="G4" s="34"/>
      <c r="H4" s="34"/>
      <c r="I4" s="34"/>
      <c r="J4" s="34"/>
      <c r="K4" s="34"/>
      <c r="L4" s="34"/>
      <c r="M4" s="33"/>
    </row>
    <row r="5" spans="1:27" ht="43.5" customHeight="1" x14ac:dyDescent="0.2">
      <c r="A5" s="75" t="s">
        <v>1</v>
      </c>
      <c r="B5" s="75"/>
      <c r="C5" s="75"/>
      <c r="D5" s="75"/>
      <c r="E5" s="75"/>
      <c r="F5" s="75"/>
      <c r="G5" s="75"/>
      <c r="H5" s="75"/>
      <c r="I5" s="75"/>
      <c r="J5" s="75"/>
      <c r="K5" s="75"/>
      <c r="L5" s="75"/>
      <c r="M5" s="33"/>
    </row>
    <row r="6" spans="1:27" ht="15.75" customHeight="1" x14ac:dyDescent="0.2">
      <c r="A6" s="34"/>
      <c r="B6" s="34"/>
      <c r="C6" s="34"/>
      <c r="D6" s="34"/>
      <c r="E6" s="34"/>
      <c r="F6" s="34"/>
      <c r="G6" s="34"/>
      <c r="H6" s="34"/>
      <c r="I6" s="34"/>
      <c r="J6" s="34"/>
      <c r="K6" s="34"/>
      <c r="L6" s="34"/>
      <c r="M6" s="33"/>
    </row>
    <row r="7" spans="1:27" ht="75.75" customHeight="1" x14ac:dyDescent="0.2">
      <c r="A7" s="74" t="s">
        <v>2</v>
      </c>
      <c r="B7" s="67" t="s">
        <v>186</v>
      </c>
      <c r="C7" s="67" t="s">
        <v>185</v>
      </c>
      <c r="D7" s="67" t="s">
        <v>14</v>
      </c>
      <c r="E7" s="67" t="s">
        <v>184</v>
      </c>
      <c r="F7" s="67" t="s">
        <v>183</v>
      </c>
      <c r="G7" s="73" t="s">
        <v>182</v>
      </c>
      <c r="H7" s="72" t="s">
        <v>181</v>
      </c>
      <c r="I7" s="67" t="s">
        <v>156</v>
      </c>
      <c r="J7" s="67" t="s">
        <v>180</v>
      </c>
      <c r="K7" s="67" t="s">
        <v>179</v>
      </c>
      <c r="L7" s="71" t="s">
        <v>23</v>
      </c>
      <c r="M7" s="70"/>
      <c r="N7" s="45"/>
      <c r="O7" s="45"/>
      <c r="P7" s="45"/>
      <c r="Q7" s="45"/>
      <c r="R7" s="45"/>
      <c r="S7" s="45"/>
      <c r="T7" s="45"/>
      <c r="U7" s="45"/>
      <c r="V7" s="45"/>
      <c r="W7" s="45"/>
      <c r="X7" s="45"/>
      <c r="Y7" s="45"/>
      <c r="Z7" s="45"/>
      <c r="AA7" s="45"/>
    </row>
    <row r="8" spans="1:27" ht="105" customHeight="1" x14ac:dyDescent="0.2">
      <c r="A8" s="67" t="s">
        <v>3</v>
      </c>
      <c r="B8" s="44" t="s">
        <v>178</v>
      </c>
      <c r="C8" s="66" t="s">
        <v>177</v>
      </c>
      <c r="D8" s="66" t="s">
        <v>176</v>
      </c>
      <c r="E8" s="44" t="s">
        <v>175</v>
      </c>
      <c r="F8" s="64">
        <v>420000</v>
      </c>
      <c r="G8" s="64">
        <v>499800</v>
      </c>
      <c r="H8" s="63">
        <v>125</v>
      </c>
      <c r="I8" s="62" t="s">
        <v>136</v>
      </c>
      <c r="J8" s="44" t="s">
        <v>135</v>
      </c>
      <c r="K8" s="43" t="s">
        <v>174</v>
      </c>
      <c r="L8" s="60" t="s">
        <v>173</v>
      </c>
      <c r="M8" s="33"/>
    </row>
    <row r="9" spans="1:27" ht="105" customHeight="1" x14ac:dyDescent="0.2">
      <c r="A9" s="67" t="s">
        <v>4</v>
      </c>
      <c r="B9" s="44" t="s">
        <v>153</v>
      </c>
      <c r="C9" s="69" t="s">
        <v>152</v>
      </c>
      <c r="D9" s="69" t="s">
        <v>172</v>
      </c>
      <c r="E9" s="43" t="s">
        <v>171</v>
      </c>
      <c r="F9" s="64">
        <v>410000</v>
      </c>
      <c r="G9" s="64">
        <v>487900</v>
      </c>
      <c r="H9" s="63">
        <v>122</v>
      </c>
      <c r="I9" s="62" t="s">
        <v>136</v>
      </c>
      <c r="J9" s="68" t="s">
        <v>20</v>
      </c>
      <c r="K9" s="61" t="s">
        <v>170</v>
      </c>
      <c r="L9" s="44" t="s">
        <v>169</v>
      </c>
      <c r="M9" s="33"/>
    </row>
    <row r="10" spans="1:27" ht="105.75" customHeight="1" x14ac:dyDescent="0.2">
      <c r="A10" s="67" t="s">
        <v>5</v>
      </c>
      <c r="B10" s="44" t="s">
        <v>168</v>
      </c>
      <c r="C10" s="66" t="s">
        <v>167</v>
      </c>
      <c r="D10" s="66" t="s">
        <v>166</v>
      </c>
      <c r="E10" s="43" t="s">
        <v>165</v>
      </c>
      <c r="F10" s="65">
        <v>380000</v>
      </c>
      <c r="G10" s="64">
        <v>452200</v>
      </c>
      <c r="H10" s="63">
        <v>113</v>
      </c>
      <c r="I10" s="62" t="s">
        <v>136</v>
      </c>
      <c r="J10" s="44" t="s">
        <v>20</v>
      </c>
      <c r="K10" s="61" t="s">
        <v>134</v>
      </c>
      <c r="L10" s="60" t="s">
        <v>164</v>
      </c>
      <c r="M10" s="33"/>
    </row>
    <row r="11" spans="1:27" ht="15" hidden="1" customHeight="1" x14ac:dyDescent="0.2">
      <c r="A11" s="59"/>
      <c r="B11" s="39"/>
      <c r="C11" s="39"/>
      <c r="D11" s="39"/>
      <c r="E11" s="39"/>
      <c r="F11" s="39"/>
      <c r="G11" s="39"/>
      <c r="H11" s="39"/>
      <c r="I11" s="39"/>
      <c r="J11" s="39"/>
      <c r="K11" s="39"/>
      <c r="L11" s="34"/>
      <c r="M11" s="33"/>
    </row>
    <row r="12" spans="1:27" ht="12.75" customHeight="1" x14ac:dyDescent="0.2">
      <c r="A12" s="34"/>
      <c r="B12" s="34"/>
      <c r="C12" s="34"/>
      <c r="D12" s="34"/>
      <c r="E12" s="34"/>
      <c r="F12" s="34"/>
      <c r="G12" s="34"/>
      <c r="H12" s="34"/>
      <c r="I12" s="34"/>
      <c r="J12" s="34"/>
      <c r="K12" s="34"/>
      <c r="L12" s="34"/>
      <c r="M12" s="33"/>
    </row>
    <row r="13" spans="1:27" ht="138.75" customHeight="1" x14ac:dyDescent="0.2">
      <c r="A13" s="38" t="s">
        <v>7</v>
      </c>
      <c r="B13" s="58"/>
      <c r="C13" s="58"/>
      <c r="D13" s="58"/>
      <c r="E13" s="58"/>
      <c r="F13" s="58"/>
      <c r="G13" s="58"/>
      <c r="H13" s="58"/>
      <c r="I13" s="58"/>
      <c r="J13" s="58"/>
      <c r="K13" s="57"/>
      <c r="L13" s="34"/>
      <c r="M13" s="33"/>
    </row>
    <row r="14" spans="1:27" ht="12.75" customHeight="1" x14ac:dyDescent="0.2">
      <c r="A14" s="33"/>
      <c r="B14" s="33"/>
      <c r="C14" s="33"/>
      <c r="D14" s="33"/>
      <c r="E14" s="33"/>
      <c r="F14" s="33"/>
      <c r="G14" s="33"/>
      <c r="H14" s="33"/>
      <c r="I14" s="33"/>
      <c r="J14" s="33"/>
      <c r="K14" s="33"/>
      <c r="L14" s="33"/>
      <c r="M14" s="33"/>
    </row>
    <row r="15" spans="1:27" ht="75" customHeight="1" x14ac:dyDescent="0.2">
      <c r="A15" s="38" t="s">
        <v>8</v>
      </c>
      <c r="B15" s="37"/>
      <c r="C15" s="37"/>
      <c r="D15" s="37"/>
      <c r="E15" s="37"/>
      <c r="F15" s="37"/>
      <c r="G15" s="37"/>
      <c r="H15" s="37"/>
      <c r="I15" s="37"/>
      <c r="J15" s="37"/>
      <c r="K15" s="36"/>
      <c r="L15" s="33"/>
      <c r="M15" s="33"/>
    </row>
    <row r="16" spans="1:27" ht="12.75" customHeight="1" x14ac:dyDescent="0.2">
      <c r="A16" s="33"/>
      <c r="B16" s="33"/>
      <c r="C16" s="33"/>
      <c r="D16" s="33"/>
      <c r="E16" s="33"/>
      <c r="F16" s="33"/>
      <c r="G16" s="33"/>
      <c r="H16" s="33"/>
      <c r="I16" s="33"/>
      <c r="J16" s="33"/>
      <c r="K16" s="33"/>
      <c r="L16" s="33"/>
      <c r="M16" s="33"/>
    </row>
    <row r="17" spans="1:13" ht="12.75" customHeight="1" x14ac:dyDescent="0.2">
      <c r="A17" s="33"/>
      <c r="B17" s="33"/>
      <c r="C17" s="33"/>
      <c r="D17" s="33"/>
      <c r="E17" s="33"/>
      <c r="F17" s="33"/>
      <c r="G17" s="33"/>
      <c r="H17" s="33"/>
      <c r="I17" s="33"/>
      <c r="J17" s="33"/>
      <c r="K17" s="33"/>
      <c r="L17" s="33"/>
      <c r="M17" s="33"/>
    </row>
    <row r="18" spans="1:13" ht="12.75" customHeight="1" x14ac:dyDescent="0.2">
      <c r="A18" s="33"/>
      <c r="B18" s="33"/>
      <c r="C18" s="33"/>
      <c r="D18" s="33"/>
      <c r="E18" s="33"/>
      <c r="F18" s="33"/>
      <c r="G18" s="33"/>
      <c r="H18" s="33"/>
      <c r="I18" s="33"/>
      <c r="J18" s="33"/>
      <c r="K18" s="33"/>
      <c r="L18" s="33"/>
      <c r="M18" s="33"/>
    </row>
    <row r="19" spans="1:13" ht="12.75" customHeight="1" x14ac:dyDescent="0.2">
      <c r="A19" s="33"/>
      <c r="B19" s="33"/>
      <c r="C19" s="33"/>
      <c r="D19" s="33"/>
      <c r="E19" s="33"/>
      <c r="F19" s="33"/>
      <c r="G19" s="33"/>
      <c r="H19" s="33"/>
      <c r="I19" s="33"/>
      <c r="J19" s="33"/>
      <c r="K19" s="33"/>
      <c r="L19" s="33"/>
      <c r="M19" s="33"/>
    </row>
    <row r="20" spans="1:13" ht="12.75" customHeight="1" x14ac:dyDescent="0.2">
      <c r="A20" s="33"/>
      <c r="B20" s="33"/>
      <c r="C20" s="33"/>
      <c r="D20" s="33"/>
      <c r="E20" s="33"/>
      <c r="F20" s="33"/>
      <c r="G20" s="33"/>
      <c r="H20" s="33"/>
      <c r="I20" s="33"/>
      <c r="J20" s="33"/>
      <c r="K20" s="33"/>
      <c r="L20" s="33"/>
      <c r="M20" s="33"/>
    </row>
    <row r="21" spans="1:13" ht="12.75" customHeight="1" x14ac:dyDescent="0.2">
      <c r="A21" s="33"/>
      <c r="B21" s="33"/>
      <c r="C21" s="33"/>
      <c r="D21" s="33"/>
      <c r="E21" s="33"/>
      <c r="F21" s="33"/>
      <c r="G21" s="33"/>
      <c r="H21" s="33"/>
      <c r="I21" s="33"/>
      <c r="J21" s="33"/>
      <c r="K21" s="33"/>
      <c r="L21" s="33"/>
      <c r="M21" s="33"/>
    </row>
    <row r="22" spans="1:13" ht="12.75" customHeight="1" x14ac:dyDescent="0.2"/>
    <row r="23" spans="1:13" ht="12.75" customHeight="1" x14ac:dyDescent="0.2"/>
    <row r="24" spans="1:13" ht="12.75" customHeight="1" x14ac:dyDescent="0.2"/>
    <row r="25" spans="1:13" ht="12.75" customHeight="1" x14ac:dyDescent="0.2"/>
    <row r="26" spans="1:13" ht="12.75" customHeight="1" x14ac:dyDescent="0.2">
      <c r="E26" s="56"/>
      <c r="F26" s="56"/>
      <c r="G26" s="55"/>
      <c r="H26" s="55"/>
    </row>
    <row r="27" spans="1:13" ht="12.75" customHeight="1" x14ac:dyDescent="0.2"/>
    <row r="28" spans="1:13" ht="12.75" customHeight="1" x14ac:dyDescent="0.2"/>
    <row r="29" spans="1:13" ht="12.75" customHeight="1" x14ac:dyDescent="0.2"/>
    <row r="30" spans="1:13" ht="12.75" customHeight="1" x14ac:dyDescent="0.2"/>
    <row r="31" spans="1:13" ht="12.75" customHeight="1" x14ac:dyDescent="0.2"/>
    <row r="32" spans="1:13"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4">
    <mergeCell ref="A13:K13"/>
    <mergeCell ref="A15:K15"/>
    <mergeCell ref="A5:L5"/>
    <mergeCell ref="A2:L2"/>
  </mergeCells>
  <hyperlinks>
    <hyperlink ref="L8" r:id="rId1" xr:uid="{EEFDD4A1-3B1D-4F34-B1C1-269F7F34EB03}"/>
    <hyperlink ref="L10" r:id="rId2" xr:uid="{F1F8FE89-3F17-4042-BF4F-3329174273A2}"/>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A4907-7D87-4FA6-A39E-85FDE5C3BFF5}">
  <dimension ref="A1:AA1000"/>
  <sheetViews>
    <sheetView workbookViewId="0">
      <selection activeCell="B8" sqref="B8:L8"/>
    </sheetView>
  </sheetViews>
  <sheetFormatPr baseColWidth="10" defaultColWidth="12.5703125" defaultRowHeight="15" customHeight="1" x14ac:dyDescent="0.2"/>
  <cols>
    <col min="1" max="4" width="19.140625" style="32" customWidth="1"/>
    <col min="5" max="5" width="21.85546875" style="32" customWidth="1"/>
    <col min="6" max="7" width="17" style="32" customWidth="1"/>
    <col min="8" max="8" width="18" style="32" customWidth="1"/>
    <col min="9" max="9" width="17" style="32" customWidth="1"/>
    <col min="10" max="11" width="19.140625" style="32" customWidth="1"/>
    <col min="12" max="12" width="24" style="32" customWidth="1"/>
    <col min="13" max="13" width="17.7109375" style="32" customWidth="1"/>
    <col min="14" max="27" width="10" style="32" customWidth="1"/>
    <col min="28" max="16384" width="12.5703125" style="32"/>
  </cols>
  <sheetData>
    <row r="1" spans="1:27" ht="12.75" customHeight="1" x14ac:dyDescent="0.2">
      <c r="A1" s="33"/>
      <c r="B1" s="33"/>
      <c r="C1" s="33"/>
      <c r="D1" s="33"/>
      <c r="E1" s="33"/>
      <c r="F1" s="33"/>
      <c r="G1" s="33"/>
      <c r="H1" s="33"/>
      <c r="I1" s="33"/>
      <c r="J1" s="33"/>
      <c r="K1" s="33"/>
      <c r="L1" s="33"/>
      <c r="M1" s="33"/>
    </row>
    <row r="2" spans="1:27" ht="27.75" customHeight="1" x14ac:dyDescent="0.2">
      <c r="A2" s="79" t="s">
        <v>163</v>
      </c>
      <c r="B2" s="79"/>
      <c r="C2" s="79"/>
      <c r="D2" s="79"/>
      <c r="E2" s="79"/>
      <c r="F2" s="79"/>
      <c r="G2" s="79"/>
      <c r="H2" s="79"/>
      <c r="I2" s="79"/>
      <c r="J2" s="79"/>
      <c r="K2" s="79"/>
      <c r="L2" s="79"/>
      <c r="M2" s="33"/>
    </row>
    <row r="3" spans="1:27" ht="12.75" customHeight="1" x14ac:dyDescent="0.2">
      <c r="A3" s="33"/>
      <c r="B3" s="33"/>
      <c r="C3" s="33"/>
      <c r="D3" s="33"/>
      <c r="E3" s="33"/>
      <c r="F3" s="33"/>
      <c r="G3" s="33"/>
      <c r="H3" s="33"/>
      <c r="I3" s="33"/>
      <c r="J3" s="33"/>
      <c r="K3" s="33"/>
      <c r="L3" s="33"/>
      <c r="M3" s="33"/>
    </row>
    <row r="4" spans="1:27" ht="12.75" customHeight="1" x14ac:dyDescent="0.2">
      <c r="A4" s="33"/>
      <c r="B4" s="33"/>
      <c r="C4" s="33"/>
      <c r="D4" s="33"/>
      <c r="E4" s="33"/>
      <c r="F4" s="33"/>
      <c r="G4" s="33"/>
      <c r="H4" s="33"/>
      <c r="I4" s="33"/>
      <c r="J4" s="33"/>
      <c r="K4" s="33"/>
      <c r="L4" s="33"/>
      <c r="M4" s="33"/>
    </row>
    <row r="5" spans="1:27" ht="43.5" customHeight="1" x14ac:dyDescent="0.2">
      <c r="A5" s="53" t="s">
        <v>1</v>
      </c>
      <c r="B5" s="52"/>
      <c r="C5" s="52"/>
      <c r="D5" s="52"/>
      <c r="E5" s="52"/>
      <c r="F5" s="52"/>
      <c r="G5" s="52"/>
      <c r="H5" s="52"/>
      <c r="I5" s="52"/>
      <c r="J5" s="52"/>
      <c r="K5" s="52"/>
      <c r="L5" s="52"/>
      <c r="M5" s="33"/>
    </row>
    <row r="6" spans="1:27" ht="15.75" customHeight="1" x14ac:dyDescent="0.2">
      <c r="A6" s="33"/>
      <c r="B6" s="33"/>
      <c r="C6" s="33"/>
      <c r="D6" s="33"/>
      <c r="E6" s="33"/>
      <c r="F6" s="33"/>
      <c r="G6" s="33"/>
      <c r="H6" s="33"/>
      <c r="I6" s="33"/>
      <c r="J6" s="33"/>
      <c r="K6" s="33"/>
      <c r="L6" s="33"/>
      <c r="M6" s="33"/>
    </row>
    <row r="7" spans="1:27" ht="75.75" customHeight="1" x14ac:dyDescent="0.2">
      <c r="A7" s="74" t="s">
        <v>2</v>
      </c>
      <c r="B7" s="67" t="s">
        <v>186</v>
      </c>
      <c r="C7" s="67" t="s">
        <v>185</v>
      </c>
      <c r="D7" s="67" t="s">
        <v>14</v>
      </c>
      <c r="E7" s="67" t="s">
        <v>184</v>
      </c>
      <c r="F7" s="67" t="s">
        <v>183</v>
      </c>
      <c r="G7" s="73" t="s">
        <v>182</v>
      </c>
      <c r="H7" s="72" t="s">
        <v>181</v>
      </c>
      <c r="I7" s="67" t="s">
        <v>156</v>
      </c>
      <c r="J7" s="67" t="s">
        <v>180</v>
      </c>
      <c r="K7" s="67" t="s">
        <v>179</v>
      </c>
      <c r="L7" s="67" t="s">
        <v>23</v>
      </c>
      <c r="M7" s="70"/>
      <c r="N7" s="45"/>
      <c r="O7" s="45"/>
      <c r="P7" s="45"/>
      <c r="Q7" s="45"/>
      <c r="R7" s="45"/>
      <c r="S7" s="45"/>
      <c r="T7" s="45"/>
      <c r="U7" s="45"/>
      <c r="V7" s="45"/>
      <c r="W7" s="45"/>
      <c r="X7" s="45"/>
      <c r="Y7" s="45"/>
      <c r="Z7" s="45"/>
      <c r="AA7" s="45"/>
    </row>
    <row r="8" spans="1:27" ht="105" customHeight="1" x14ac:dyDescent="0.2">
      <c r="A8" s="67" t="s">
        <v>3</v>
      </c>
      <c r="B8" s="44" t="s">
        <v>168</v>
      </c>
      <c r="C8" s="66" t="s">
        <v>167</v>
      </c>
      <c r="D8" s="66" t="s">
        <v>166</v>
      </c>
      <c r="E8" s="43" t="s">
        <v>195</v>
      </c>
      <c r="F8" s="65">
        <v>170000</v>
      </c>
      <c r="G8" s="64">
        <v>202300</v>
      </c>
      <c r="H8" s="63">
        <v>50</v>
      </c>
      <c r="I8" s="62" t="s">
        <v>136</v>
      </c>
      <c r="J8" s="44" t="s">
        <v>20</v>
      </c>
      <c r="K8" s="44" t="s">
        <v>194</v>
      </c>
      <c r="L8" s="60" t="s">
        <v>193</v>
      </c>
      <c r="M8" s="33"/>
    </row>
    <row r="9" spans="1:27" ht="105" customHeight="1" x14ac:dyDescent="0.2">
      <c r="A9" s="67" t="s">
        <v>4</v>
      </c>
      <c r="B9" s="44" t="s">
        <v>146</v>
      </c>
      <c r="C9" s="66" t="s">
        <v>145</v>
      </c>
      <c r="D9" s="66" t="s">
        <v>144</v>
      </c>
      <c r="E9" s="43" t="s">
        <v>192</v>
      </c>
      <c r="F9" s="65">
        <v>165000</v>
      </c>
      <c r="G9" s="64">
        <v>196350</v>
      </c>
      <c r="H9" s="63">
        <v>49</v>
      </c>
      <c r="I9" s="62" t="s">
        <v>136</v>
      </c>
      <c r="J9" s="44" t="s">
        <v>20</v>
      </c>
      <c r="K9" s="43" t="s">
        <v>191</v>
      </c>
      <c r="L9" s="60" t="s">
        <v>190</v>
      </c>
      <c r="M9" s="33"/>
    </row>
    <row r="10" spans="1:27" ht="103.5" customHeight="1" x14ac:dyDescent="0.2">
      <c r="A10" s="67" t="s">
        <v>5</v>
      </c>
      <c r="B10" s="77" t="s">
        <v>140</v>
      </c>
      <c r="C10" s="66" t="s">
        <v>139</v>
      </c>
      <c r="D10" s="66" t="s">
        <v>138</v>
      </c>
      <c r="E10" s="77" t="s">
        <v>189</v>
      </c>
      <c r="F10" s="78">
        <v>175000</v>
      </c>
      <c r="G10" s="64">
        <v>208250</v>
      </c>
      <c r="H10" s="63">
        <v>52</v>
      </c>
      <c r="I10" s="62" t="s">
        <v>136</v>
      </c>
      <c r="J10" s="44" t="s">
        <v>20</v>
      </c>
      <c r="K10" s="43" t="s">
        <v>188</v>
      </c>
      <c r="L10" s="60" t="s">
        <v>187</v>
      </c>
      <c r="M10" s="33"/>
    </row>
    <row r="11" spans="1:27" ht="15" hidden="1" customHeight="1" x14ac:dyDescent="0.2">
      <c r="A11" s="44"/>
      <c r="B11" s="77"/>
      <c r="C11" s="44"/>
      <c r="D11" s="44"/>
      <c r="E11" s="77"/>
      <c r="F11" s="77"/>
      <c r="G11" s="44"/>
      <c r="H11" s="44"/>
      <c r="I11" s="44"/>
      <c r="J11" s="44"/>
      <c r="K11" s="44"/>
      <c r="L11" s="44"/>
      <c r="M11" s="33"/>
    </row>
    <row r="12" spans="1:27" ht="12.75" customHeight="1" x14ac:dyDescent="0.2">
      <c r="A12" s="33"/>
      <c r="B12" s="33"/>
      <c r="C12" s="33"/>
      <c r="D12" s="33"/>
      <c r="E12" s="33"/>
      <c r="F12" s="33"/>
      <c r="G12" s="33"/>
      <c r="H12" s="33"/>
      <c r="I12" s="33"/>
      <c r="J12" s="33"/>
      <c r="K12" s="33"/>
      <c r="L12" s="33"/>
      <c r="M12" s="33"/>
    </row>
    <row r="13" spans="1:27" ht="138.75" customHeight="1" x14ac:dyDescent="0.2">
      <c r="A13" s="38" t="s">
        <v>7</v>
      </c>
      <c r="B13" s="37"/>
      <c r="C13" s="37"/>
      <c r="D13" s="37"/>
      <c r="E13" s="37"/>
      <c r="F13" s="37"/>
      <c r="G13" s="37"/>
      <c r="H13" s="37"/>
      <c r="I13" s="37"/>
      <c r="J13" s="37"/>
      <c r="K13" s="36"/>
      <c r="L13" s="33"/>
      <c r="M13" s="33"/>
    </row>
    <row r="14" spans="1:27" ht="12.75" customHeight="1" x14ac:dyDescent="0.2">
      <c r="A14" s="33"/>
      <c r="B14" s="33"/>
      <c r="C14" s="33"/>
      <c r="D14" s="33"/>
      <c r="E14" s="33"/>
      <c r="F14" s="33"/>
      <c r="G14" s="33"/>
      <c r="H14" s="33"/>
      <c r="I14" s="33"/>
      <c r="J14" s="33"/>
      <c r="K14" s="33"/>
      <c r="L14" s="33"/>
      <c r="M14" s="33"/>
    </row>
    <row r="15" spans="1:27" ht="75" customHeight="1" x14ac:dyDescent="0.2">
      <c r="A15" s="38" t="s">
        <v>8</v>
      </c>
      <c r="B15" s="37"/>
      <c r="C15" s="37"/>
      <c r="D15" s="37"/>
      <c r="E15" s="37"/>
      <c r="F15" s="37"/>
      <c r="G15" s="37"/>
      <c r="H15" s="37"/>
      <c r="I15" s="37"/>
      <c r="J15" s="37"/>
      <c r="K15" s="36"/>
      <c r="L15" s="33"/>
      <c r="M15" s="33"/>
    </row>
    <row r="16" spans="1:27" ht="12.75" customHeight="1" x14ac:dyDescent="0.2">
      <c r="A16" s="33"/>
      <c r="B16" s="33"/>
      <c r="C16" s="33"/>
      <c r="D16" s="33"/>
      <c r="E16" s="33"/>
      <c r="F16" s="33"/>
      <c r="G16" s="33"/>
      <c r="H16" s="33"/>
      <c r="I16" s="33"/>
      <c r="J16" s="33"/>
      <c r="K16" s="33"/>
      <c r="L16" s="33"/>
      <c r="M16" s="33"/>
    </row>
    <row r="17" spans="1:13" ht="12.75" customHeight="1" x14ac:dyDescent="0.2">
      <c r="A17" s="33"/>
      <c r="B17" s="33"/>
      <c r="C17" s="33"/>
      <c r="D17" s="33"/>
      <c r="E17" s="33"/>
      <c r="F17" s="33"/>
      <c r="G17" s="33"/>
      <c r="H17" s="33"/>
      <c r="I17" s="33"/>
      <c r="J17" s="33"/>
      <c r="K17" s="33"/>
      <c r="L17" s="33"/>
      <c r="M17" s="33"/>
    </row>
    <row r="18" spans="1:13" ht="12.75" customHeight="1" x14ac:dyDescent="0.25">
      <c r="A18" s="76"/>
      <c r="B18" s="76"/>
      <c r="C18" s="76"/>
      <c r="D18" s="76"/>
      <c r="E18" s="76"/>
      <c r="F18" s="76"/>
      <c r="G18" s="76"/>
      <c r="H18" s="76"/>
      <c r="I18" s="76"/>
      <c r="J18" s="76"/>
      <c r="K18" s="76"/>
      <c r="L18" s="76"/>
    </row>
    <row r="19" spans="1:13" ht="12.75" customHeight="1" x14ac:dyDescent="0.25">
      <c r="A19" s="76"/>
      <c r="B19" s="76"/>
      <c r="C19" s="76"/>
      <c r="D19" s="76"/>
      <c r="E19" s="76"/>
      <c r="F19" s="76"/>
      <c r="G19" s="76"/>
      <c r="H19" s="76"/>
      <c r="I19" s="76"/>
      <c r="J19" s="76"/>
      <c r="K19" s="76"/>
      <c r="L19" s="76"/>
    </row>
    <row r="20" spans="1:13" ht="12.75" customHeight="1" x14ac:dyDescent="0.25">
      <c r="A20" s="76"/>
      <c r="B20" s="76"/>
      <c r="C20" s="76"/>
      <c r="D20" s="76"/>
      <c r="E20" s="76"/>
      <c r="F20" s="76"/>
      <c r="G20" s="76"/>
      <c r="H20" s="76"/>
      <c r="I20" s="76"/>
      <c r="J20" s="76"/>
      <c r="K20" s="76"/>
      <c r="L20" s="76"/>
    </row>
    <row r="21" spans="1:13" ht="12.75" customHeight="1" x14ac:dyDescent="0.25">
      <c r="A21" s="76"/>
      <c r="B21" s="76"/>
      <c r="C21" s="76"/>
      <c r="D21" s="76"/>
      <c r="E21" s="76"/>
      <c r="F21" s="76"/>
      <c r="G21" s="76"/>
      <c r="H21" s="76"/>
      <c r="I21" s="76"/>
      <c r="J21" s="76"/>
      <c r="K21" s="76"/>
      <c r="L21" s="76"/>
    </row>
    <row r="22" spans="1:13" ht="12.75" customHeight="1" x14ac:dyDescent="0.25">
      <c r="A22" s="76"/>
      <c r="B22" s="76"/>
      <c r="C22" s="76"/>
      <c r="D22" s="76"/>
      <c r="E22" s="76"/>
      <c r="F22" s="76"/>
      <c r="G22" s="76"/>
      <c r="H22" s="76"/>
      <c r="I22" s="76"/>
      <c r="J22" s="76"/>
      <c r="K22" s="76"/>
      <c r="L22" s="76"/>
    </row>
    <row r="23" spans="1:13" ht="12.75" customHeight="1" x14ac:dyDescent="0.2"/>
    <row r="24" spans="1:13" ht="12.75" customHeight="1" x14ac:dyDescent="0.2"/>
    <row r="25" spans="1:13" ht="12.75" customHeight="1" x14ac:dyDescent="0.2"/>
    <row r="26" spans="1:13" ht="12.75" customHeight="1" x14ac:dyDescent="0.2">
      <c r="E26" s="56"/>
      <c r="F26" s="56"/>
      <c r="G26" s="55"/>
      <c r="H26" s="55"/>
    </row>
    <row r="27" spans="1:13" ht="12.75" customHeight="1" x14ac:dyDescent="0.2"/>
    <row r="28" spans="1:13" ht="12.75" customHeight="1" x14ac:dyDescent="0.2"/>
    <row r="29" spans="1:13" ht="12.75" customHeight="1" x14ac:dyDescent="0.2"/>
    <row r="30" spans="1:13" ht="12.75" customHeight="1" x14ac:dyDescent="0.2"/>
    <row r="31" spans="1:13" ht="12.75" customHeight="1" x14ac:dyDescent="0.2"/>
    <row r="32" spans="1:13"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7">
    <mergeCell ref="A2:L2"/>
    <mergeCell ref="A13:K13"/>
    <mergeCell ref="A15:K15"/>
    <mergeCell ref="B10:B11"/>
    <mergeCell ref="E10:E11"/>
    <mergeCell ref="F10:F11"/>
    <mergeCell ref="A5:L5"/>
  </mergeCells>
  <hyperlinks>
    <hyperlink ref="L8" r:id="rId1" xr:uid="{6965D4C0-42C4-445D-8E18-E4B22A4D6C91}"/>
    <hyperlink ref="L9" r:id="rId2" xr:uid="{170E477B-45D2-4E06-ACDD-9947218B77CB}"/>
    <hyperlink ref="L10" r:id="rId3" xr:uid="{A9D0C842-04C3-426E-8E5E-4D638822516F}"/>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AE3A5-C4AB-412F-9C7B-A18583EFC522}">
  <dimension ref="A1:AB1000"/>
  <sheetViews>
    <sheetView workbookViewId="0">
      <selection activeCell="B8" sqref="B8:L8"/>
    </sheetView>
  </sheetViews>
  <sheetFormatPr baseColWidth="10" defaultColWidth="12.5703125" defaultRowHeight="15" customHeight="1" x14ac:dyDescent="0.2"/>
  <cols>
    <col min="1" max="4" width="19.140625" style="32" customWidth="1"/>
    <col min="5" max="5" width="21.85546875" style="32" customWidth="1"/>
    <col min="6" max="7" width="17" style="32" customWidth="1"/>
    <col min="8" max="8" width="18" style="32" customWidth="1"/>
    <col min="9" max="9" width="17" style="32" customWidth="1"/>
    <col min="10" max="12" width="19.140625" style="32" customWidth="1"/>
    <col min="13" max="28" width="10" style="32" customWidth="1"/>
    <col min="29" max="16384" width="12.5703125" style="32"/>
  </cols>
  <sheetData>
    <row r="1" spans="1:28" ht="12.75" customHeight="1" x14ac:dyDescent="0.25">
      <c r="A1" s="33"/>
      <c r="B1" s="33"/>
      <c r="C1" s="33"/>
      <c r="D1" s="33"/>
      <c r="E1" s="33"/>
      <c r="F1" s="33"/>
      <c r="G1" s="33"/>
      <c r="H1" s="33"/>
      <c r="I1" s="33"/>
      <c r="J1" s="33"/>
      <c r="K1" s="33"/>
      <c r="L1" s="33"/>
      <c r="M1" s="76"/>
    </row>
    <row r="2" spans="1:28" ht="27.75" customHeight="1" x14ac:dyDescent="0.25">
      <c r="A2" s="79" t="s">
        <v>163</v>
      </c>
      <c r="B2" s="79"/>
      <c r="C2" s="79"/>
      <c r="D2" s="79"/>
      <c r="E2" s="79"/>
      <c r="F2" s="79"/>
      <c r="G2" s="79"/>
      <c r="H2" s="79"/>
      <c r="I2" s="79"/>
      <c r="J2" s="79"/>
      <c r="K2" s="79"/>
      <c r="L2" s="79"/>
      <c r="M2" s="76"/>
    </row>
    <row r="3" spans="1:28" ht="12.75" customHeight="1" x14ac:dyDescent="0.25">
      <c r="A3" s="33"/>
      <c r="B3" s="33"/>
      <c r="C3" s="33"/>
      <c r="D3" s="33"/>
      <c r="E3" s="33"/>
      <c r="F3" s="33"/>
      <c r="G3" s="33"/>
      <c r="H3" s="33"/>
      <c r="I3" s="33"/>
      <c r="J3" s="33"/>
      <c r="K3" s="33"/>
      <c r="L3" s="33"/>
      <c r="M3" s="76"/>
    </row>
    <row r="4" spans="1:28" ht="12.75" customHeight="1" x14ac:dyDescent="0.25">
      <c r="A4" s="33"/>
      <c r="B4" s="33"/>
      <c r="C4" s="33"/>
      <c r="D4" s="33"/>
      <c r="E4" s="33"/>
      <c r="F4" s="33"/>
      <c r="G4" s="33"/>
      <c r="H4" s="33"/>
      <c r="I4" s="33"/>
      <c r="J4" s="33"/>
      <c r="K4" s="33"/>
      <c r="L4" s="33"/>
      <c r="M4" s="76"/>
    </row>
    <row r="5" spans="1:28" ht="43.5" customHeight="1" x14ac:dyDescent="0.25">
      <c r="A5" s="53" t="s">
        <v>1</v>
      </c>
      <c r="B5" s="52"/>
      <c r="C5" s="52"/>
      <c r="D5" s="52"/>
      <c r="E5" s="52"/>
      <c r="F5" s="52"/>
      <c r="G5" s="52"/>
      <c r="H5" s="52"/>
      <c r="I5" s="52"/>
      <c r="J5" s="52"/>
      <c r="K5" s="52"/>
      <c r="L5" s="52"/>
      <c r="M5" s="76"/>
    </row>
    <row r="6" spans="1:28" ht="15.75" customHeight="1" x14ac:dyDescent="0.25">
      <c r="A6" s="34"/>
      <c r="B6" s="34"/>
      <c r="C6" s="34"/>
      <c r="D6" s="34"/>
      <c r="E6" s="34"/>
      <c r="F6" s="34"/>
      <c r="G6" s="34"/>
      <c r="H6" s="34"/>
      <c r="I6" s="34"/>
      <c r="J6" s="34"/>
      <c r="K6" s="34"/>
      <c r="L6" s="34"/>
      <c r="M6" s="76"/>
    </row>
    <row r="7" spans="1:28" ht="75.75" customHeight="1" x14ac:dyDescent="0.2">
      <c r="A7" s="87" t="s">
        <v>2</v>
      </c>
      <c r="B7" s="44" t="s">
        <v>162</v>
      </c>
      <c r="C7" s="44" t="s">
        <v>205</v>
      </c>
      <c r="D7" s="44" t="s">
        <v>14</v>
      </c>
      <c r="E7" s="44" t="s">
        <v>160</v>
      </c>
      <c r="F7" s="44" t="s">
        <v>159</v>
      </c>
      <c r="G7" s="86" t="s">
        <v>158</v>
      </c>
      <c r="H7" s="85" t="s">
        <v>157</v>
      </c>
      <c r="I7" s="44" t="s">
        <v>156</v>
      </c>
      <c r="J7" s="44" t="s">
        <v>155</v>
      </c>
      <c r="K7" s="44" t="s">
        <v>154</v>
      </c>
      <c r="L7" s="44" t="s">
        <v>23</v>
      </c>
      <c r="M7" s="84"/>
      <c r="N7" s="45"/>
      <c r="O7" s="45"/>
      <c r="P7" s="45"/>
      <c r="Q7" s="45"/>
      <c r="R7" s="45"/>
      <c r="S7" s="45"/>
      <c r="T7" s="45"/>
      <c r="U7" s="45"/>
      <c r="V7" s="45"/>
      <c r="W7" s="45"/>
      <c r="X7" s="45"/>
      <c r="Y7" s="45"/>
      <c r="Z7" s="45"/>
      <c r="AA7" s="45"/>
      <c r="AB7" s="45"/>
    </row>
    <row r="8" spans="1:28" ht="105" customHeight="1" x14ac:dyDescent="0.25">
      <c r="A8" s="68" t="s">
        <v>3</v>
      </c>
      <c r="B8" s="44" t="s">
        <v>140</v>
      </c>
      <c r="C8" s="66" t="s">
        <v>139</v>
      </c>
      <c r="D8" s="66" t="s">
        <v>138</v>
      </c>
      <c r="E8" s="43" t="s">
        <v>204</v>
      </c>
      <c r="F8" s="82">
        <v>210000</v>
      </c>
      <c r="G8" s="82">
        <v>249900</v>
      </c>
      <c r="H8" s="63">
        <v>62</v>
      </c>
      <c r="I8" s="62" t="s">
        <v>136</v>
      </c>
      <c r="J8" s="44" t="s">
        <v>203</v>
      </c>
      <c r="K8" s="43" t="s">
        <v>202</v>
      </c>
      <c r="L8" s="83" t="s">
        <v>201</v>
      </c>
      <c r="M8" s="76"/>
    </row>
    <row r="9" spans="1:28" ht="105" customHeight="1" x14ac:dyDescent="0.25">
      <c r="A9" s="68" t="s">
        <v>4</v>
      </c>
      <c r="B9" s="44" t="s">
        <v>178</v>
      </c>
      <c r="C9" s="68" t="s">
        <v>177</v>
      </c>
      <c r="D9" s="68" t="s">
        <v>176</v>
      </c>
      <c r="E9" s="43" t="s">
        <v>200</v>
      </c>
      <c r="F9" s="82">
        <v>205000</v>
      </c>
      <c r="G9" s="82">
        <v>243950</v>
      </c>
      <c r="H9" s="63">
        <v>61</v>
      </c>
      <c r="I9" s="62" t="s">
        <v>136</v>
      </c>
      <c r="J9" s="44" t="s">
        <v>20</v>
      </c>
      <c r="K9" s="43" t="s">
        <v>199</v>
      </c>
      <c r="L9" s="83" t="s">
        <v>187</v>
      </c>
      <c r="M9" s="76"/>
    </row>
    <row r="10" spans="1:28" ht="105.75" customHeight="1" x14ac:dyDescent="0.25">
      <c r="A10" s="68" t="s">
        <v>5</v>
      </c>
      <c r="B10" s="44" t="s">
        <v>153</v>
      </c>
      <c r="C10" s="66" t="s">
        <v>152</v>
      </c>
      <c r="D10" s="68" t="s">
        <v>172</v>
      </c>
      <c r="E10" s="44" t="s">
        <v>198</v>
      </c>
      <c r="F10" s="82">
        <v>215000</v>
      </c>
      <c r="G10" s="82">
        <v>255850</v>
      </c>
      <c r="H10" s="63">
        <v>64</v>
      </c>
      <c r="I10" s="62" t="s">
        <v>136</v>
      </c>
      <c r="J10" s="44" t="s">
        <v>20</v>
      </c>
      <c r="K10" s="44" t="s">
        <v>197</v>
      </c>
      <c r="L10" s="60" t="s">
        <v>196</v>
      </c>
      <c r="M10" s="76"/>
    </row>
    <row r="11" spans="1:28" ht="105" hidden="1" customHeight="1" x14ac:dyDescent="0.25">
      <c r="A11" s="59"/>
      <c r="B11" s="39"/>
      <c r="C11" s="39"/>
      <c r="D11" s="39"/>
      <c r="E11" s="39"/>
      <c r="F11" s="39"/>
      <c r="G11" s="39"/>
      <c r="H11" s="39"/>
      <c r="I11" s="39"/>
      <c r="J11" s="39"/>
      <c r="K11" s="39"/>
      <c r="L11" s="81"/>
      <c r="M11" s="76"/>
    </row>
    <row r="12" spans="1:28" ht="12.75" customHeight="1" x14ac:dyDescent="0.25">
      <c r="A12" s="34"/>
      <c r="B12" s="34"/>
      <c r="C12" s="34"/>
      <c r="D12" s="34"/>
      <c r="E12" s="34"/>
      <c r="F12" s="34"/>
      <c r="G12" s="34"/>
      <c r="H12" s="34"/>
      <c r="I12" s="34"/>
      <c r="J12" s="34"/>
      <c r="K12" s="34"/>
      <c r="L12" s="34"/>
      <c r="M12" s="76"/>
    </row>
    <row r="13" spans="1:28" ht="138.75" customHeight="1" x14ac:dyDescent="0.25">
      <c r="A13" s="38" t="s">
        <v>7</v>
      </c>
      <c r="B13" s="37"/>
      <c r="C13" s="37"/>
      <c r="D13" s="37"/>
      <c r="E13" s="37"/>
      <c r="F13" s="37"/>
      <c r="G13" s="37"/>
      <c r="H13" s="37"/>
      <c r="I13" s="37"/>
      <c r="J13" s="37"/>
      <c r="K13" s="36"/>
      <c r="L13" s="80"/>
      <c r="M13" s="76"/>
    </row>
    <row r="14" spans="1:28" ht="12.75" customHeight="1" x14ac:dyDescent="0.25">
      <c r="A14" s="33"/>
      <c r="B14" s="33"/>
      <c r="C14" s="33"/>
      <c r="D14" s="33"/>
      <c r="E14" s="33"/>
      <c r="F14" s="33"/>
      <c r="G14" s="33"/>
      <c r="H14" s="33"/>
      <c r="I14" s="33"/>
      <c r="J14" s="33"/>
      <c r="K14" s="33"/>
      <c r="L14" s="33"/>
      <c r="M14" s="76"/>
    </row>
    <row r="15" spans="1:28" ht="75" customHeight="1" x14ac:dyDescent="0.25">
      <c r="A15" s="38" t="s">
        <v>8</v>
      </c>
      <c r="B15" s="37"/>
      <c r="C15" s="37"/>
      <c r="D15" s="37"/>
      <c r="E15" s="37"/>
      <c r="F15" s="37"/>
      <c r="G15" s="37"/>
      <c r="H15" s="37"/>
      <c r="I15" s="37"/>
      <c r="J15" s="37"/>
      <c r="K15" s="36"/>
      <c r="L15" s="80"/>
      <c r="M15" s="76"/>
    </row>
    <row r="16" spans="1:28" ht="12.75" customHeight="1" x14ac:dyDescent="0.25">
      <c r="A16" s="76"/>
      <c r="B16" s="76"/>
      <c r="C16" s="76"/>
      <c r="D16" s="76"/>
      <c r="E16" s="76"/>
      <c r="F16" s="76"/>
      <c r="G16" s="76"/>
      <c r="H16" s="76"/>
      <c r="I16" s="76"/>
      <c r="J16" s="76"/>
      <c r="K16" s="76"/>
      <c r="L16" s="76"/>
      <c r="M16" s="76"/>
    </row>
    <row r="17" spans="1:13" ht="12.75" customHeight="1" x14ac:dyDescent="0.25">
      <c r="A17" s="76"/>
      <c r="B17" s="76"/>
      <c r="C17" s="76"/>
      <c r="D17" s="76"/>
      <c r="E17" s="76"/>
      <c r="F17" s="76"/>
      <c r="G17" s="76"/>
      <c r="H17" s="76"/>
      <c r="I17" s="76"/>
      <c r="J17" s="76"/>
      <c r="K17" s="76"/>
      <c r="L17" s="76"/>
      <c r="M17" s="76"/>
    </row>
    <row r="18" spans="1:13" ht="12.75" customHeight="1" x14ac:dyDescent="0.25">
      <c r="A18" s="76"/>
      <c r="B18" s="76"/>
      <c r="C18" s="76"/>
      <c r="D18" s="76"/>
      <c r="E18" s="76"/>
      <c r="F18" s="76"/>
      <c r="G18" s="76"/>
      <c r="H18" s="76"/>
      <c r="I18" s="76"/>
      <c r="J18" s="76"/>
      <c r="K18" s="76"/>
      <c r="L18" s="76"/>
      <c r="M18" s="76"/>
    </row>
    <row r="19" spans="1:13" ht="12.75" customHeight="1" x14ac:dyDescent="0.2"/>
    <row r="20" spans="1:13" ht="12.75" customHeight="1" x14ac:dyDescent="0.2"/>
    <row r="21" spans="1:13" ht="12.75" customHeight="1" x14ac:dyDescent="0.2"/>
    <row r="22" spans="1:13" ht="12.75" customHeight="1" x14ac:dyDescent="0.2"/>
    <row r="23" spans="1:13" ht="12.75" customHeight="1" x14ac:dyDescent="0.2"/>
    <row r="24" spans="1:13" ht="12.75" customHeight="1" x14ac:dyDescent="0.2"/>
    <row r="25" spans="1:13" ht="12.75" customHeight="1" x14ac:dyDescent="0.2"/>
    <row r="26" spans="1:13" ht="12.75" customHeight="1" x14ac:dyDescent="0.2">
      <c r="E26" s="56"/>
      <c r="F26" s="56"/>
      <c r="G26" s="55"/>
      <c r="H26" s="55"/>
    </row>
    <row r="27" spans="1:13" ht="12.75" customHeight="1" x14ac:dyDescent="0.2"/>
    <row r="28" spans="1:13" ht="12.75" customHeight="1" x14ac:dyDescent="0.2"/>
    <row r="29" spans="1:13" ht="12.75" customHeight="1" x14ac:dyDescent="0.2"/>
    <row r="30" spans="1:13" ht="12.75" customHeight="1" x14ac:dyDescent="0.2"/>
    <row r="31" spans="1:13" ht="12.75" customHeight="1" x14ac:dyDescent="0.2"/>
    <row r="32" spans="1:13"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4">
    <mergeCell ref="A13:K13"/>
    <mergeCell ref="A15:K15"/>
    <mergeCell ref="A5:L5"/>
    <mergeCell ref="A2:L2"/>
  </mergeCells>
  <hyperlinks>
    <hyperlink ref="L8" r:id="rId1" xr:uid="{64434BD4-FAA4-4305-8006-8285902A1110}"/>
    <hyperlink ref="L9" r:id="rId2" xr:uid="{F7D74531-2487-4099-BC0D-BA365133A509}"/>
    <hyperlink ref="L10" r:id="rId3" xr:uid="{95EAFD6F-6C4A-44C1-806E-7E4CC5A90E91}"/>
  </hyperlinks>
  <pageMargins left="0.7" right="0.7" top="0.75" bottom="0.75" header="0" footer="0"/>
  <pageSetup orientation="landscape"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E3F4-CCF4-4AA9-AB93-96C2269C920D}">
  <sheetPr>
    <outlinePr summaryBelow="0" summaryRight="0"/>
  </sheetPr>
  <dimension ref="A1:K14"/>
  <sheetViews>
    <sheetView workbookViewId="0">
      <selection activeCell="B10" sqref="B10:K10"/>
    </sheetView>
  </sheetViews>
  <sheetFormatPr baseColWidth="10" defaultColWidth="12.5703125" defaultRowHeight="15" customHeight="1" x14ac:dyDescent="0.2"/>
  <cols>
    <col min="1" max="1" width="15.7109375" style="32" customWidth="1"/>
    <col min="2" max="2" width="21.28515625" style="32" customWidth="1"/>
    <col min="3" max="3" width="22.5703125" style="32" customWidth="1"/>
    <col min="4" max="4" width="26.42578125" style="32" customWidth="1"/>
    <col min="5" max="5" width="28.42578125" style="32" customWidth="1"/>
    <col min="6" max="6" width="20.5703125" style="32" customWidth="1"/>
    <col min="7" max="7" width="21.28515625" style="32" customWidth="1"/>
    <col min="8" max="8" width="22.140625" style="32" customWidth="1"/>
    <col min="9" max="9" width="30.5703125" style="32" customWidth="1"/>
    <col min="10" max="10" width="25.140625" style="32" customWidth="1"/>
    <col min="11" max="11" width="33" style="32" customWidth="1"/>
    <col min="12" max="16384" width="12.5703125" style="32"/>
  </cols>
  <sheetData>
    <row r="1" spans="1:11" ht="12.75" x14ac:dyDescent="0.2">
      <c r="A1" s="111"/>
      <c r="B1" s="111"/>
      <c r="C1" s="111"/>
      <c r="D1" s="111"/>
      <c r="E1" s="111"/>
      <c r="F1" s="111"/>
      <c r="G1" s="111"/>
      <c r="H1" s="111"/>
      <c r="I1" s="111"/>
      <c r="J1" s="111"/>
    </row>
    <row r="2" spans="1:11" ht="15.75" x14ac:dyDescent="0.25">
      <c r="A2" s="111"/>
      <c r="B2" s="111"/>
      <c r="C2" s="111"/>
      <c r="D2" s="118" t="s">
        <v>163</v>
      </c>
      <c r="E2" s="108"/>
      <c r="F2" s="108"/>
      <c r="G2" s="108"/>
      <c r="H2" s="108"/>
      <c r="I2" s="111"/>
      <c r="J2" s="111"/>
    </row>
    <row r="3" spans="1:11" ht="12.75" x14ac:dyDescent="0.2">
      <c r="A3" s="111"/>
      <c r="B3" s="111"/>
      <c r="C3" s="111"/>
      <c r="D3" s="111"/>
      <c r="E3" s="111"/>
      <c r="F3" s="111"/>
      <c r="G3" s="111"/>
      <c r="H3" s="111"/>
      <c r="I3" s="111"/>
      <c r="J3" s="111"/>
    </row>
    <row r="4" spans="1:11" ht="12.75" x14ac:dyDescent="0.2">
      <c r="A4" s="111"/>
      <c r="B4" s="111"/>
      <c r="C4" s="111"/>
      <c r="D4" s="111"/>
      <c r="E4" s="111"/>
      <c r="F4" s="111"/>
      <c r="G4" s="111"/>
      <c r="H4" s="111"/>
      <c r="I4" s="111"/>
      <c r="J4" s="111"/>
    </row>
    <row r="5" spans="1:11" ht="13.5" x14ac:dyDescent="0.25">
      <c r="A5" s="117" t="s">
        <v>1</v>
      </c>
      <c r="B5" s="89"/>
      <c r="C5" s="89"/>
      <c r="D5" s="89"/>
      <c r="E5" s="89"/>
      <c r="F5" s="89"/>
      <c r="G5" s="89"/>
      <c r="H5" s="89"/>
      <c r="I5" s="89"/>
      <c r="J5" s="88"/>
    </row>
    <row r="6" spans="1:11" ht="12.75" x14ac:dyDescent="0.2">
      <c r="A6" s="111"/>
      <c r="B6" s="111"/>
      <c r="C6" s="111"/>
      <c r="D6" s="111"/>
      <c r="E6" s="111"/>
      <c r="F6" s="111"/>
      <c r="G6" s="111"/>
      <c r="H6" s="111"/>
      <c r="I6" s="111"/>
      <c r="J6" s="111"/>
    </row>
    <row r="7" spans="1:11" ht="87" customHeight="1" x14ac:dyDescent="0.2">
      <c r="A7" s="106" t="s">
        <v>2</v>
      </c>
      <c r="B7" s="103" t="s">
        <v>233</v>
      </c>
      <c r="C7" s="103" t="s">
        <v>232</v>
      </c>
      <c r="D7" s="103" t="s">
        <v>231</v>
      </c>
      <c r="E7" s="103" t="s">
        <v>230</v>
      </c>
      <c r="F7" s="105" t="s">
        <v>229</v>
      </c>
      <c r="G7" s="116" t="s">
        <v>228</v>
      </c>
      <c r="H7" s="103" t="s">
        <v>156</v>
      </c>
      <c r="I7" s="103" t="s">
        <v>227</v>
      </c>
      <c r="J7" s="103" t="s">
        <v>226</v>
      </c>
      <c r="K7" s="115" t="s">
        <v>23</v>
      </c>
    </row>
    <row r="8" spans="1:11" ht="116.25" customHeight="1" x14ac:dyDescent="0.2">
      <c r="A8" s="99" t="s">
        <v>3</v>
      </c>
      <c r="B8" s="112" t="s">
        <v>259</v>
      </c>
      <c r="C8" s="112" t="s">
        <v>258</v>
      </c>
      <c r="D8" s="112" t="s">
        <v>257</v>
      </c>
      <c r="E8" s="114" t="s">
        <v>256</v>
      </c>
      <c r="F8" s="114" t="s">
        <v>255</v>
      </c>
      <c r="G8" s="95" t="s">
        <v>254</v>
      </c>
      <c r="H8" s="113" t="s">
        <v>253</v>
      </c>
      <c r="I8" s="112" t="s">
        <v>20</v>
      </c>
      <c r="J8" s="112" t="s">
        <v>252</v>
      </c>
      <c r="K8" s="98" t="s">
        <v>234</v>
      </c>
    </row>
    <row r="9" spans="1:11" ht="119.25" customHeight="1" x14ac:dyDescent="0.2">
      <c r="A9" s="99" t="s">
        <v>4</v>
      </c>
      <c r="B9" s="112" t="s">
        <v>251</v>
      </c>
      <c r="C9" s="112" t="s">
        <v>250</v>
      </c>
      <c r="D9" s="112" t="s">
        <v>249</v>
      </c>
      <c r="E9" s="114" t="s">
        <v>248</v>
      </c>
      <c r="F9" s="114" t="s">
        <v>247</v>
      </c>
      <c r="G9" s="95" t="s">
        <v>246</v>
      </c>
      <c r="H9" s="113" t="s">
        <v>236</v>
      </c>
      <c r="I9" s="112" t="s">
        <v>245</v>
      </c>
      <c r="J9" s="112" t="s">
        <v>244</v>
      </c>
      <c r="K9" s="98" t="s">
        <v>243</v>
      </c>
    </row>
    <row r="10" spans="1:11" ht="119.25" customHeight="1" x14ac:dyDescent="0.2">
      <c r="A10" s="99" t="s">
        <v>5</v>
      </c>
      <c r="B10" s="112" t="s">
        <v>242</v>
      </c>
      <c r="C10" s="112" t="s">
        <v>241</v>
      </c>
      <c r="D10" s="112" t="s">
        <v>240</v>
      </c>
      <c r="E10" s="114" t="s">
        <v>239</v>
      </c>
      <c r="F10" s="114" t="s">
        <v>238</v>
      </c>
      <c r="G10" s="95" t="s">
        <v>237</v>
      </c>
      <c r="H10" s="113" t="s">
        <v>236</v>
      </c>
      <c r="I10" s="112" t="s">
        <v>20</v>
      </c>
      <c r="J10" s="112" t="s">
        <v>235</v>
      </c>
      <c r="K10" s="98" t="s">
        <v>234</v>
      </c>
    </row>
    <row r="11" spans="1:11" ht="13.5" customHeight="1" x14ac:dyDescent="0.2">
      <c r="A11" s="111"/>
      <c r="B11" s="111"/>
      <c r="C11" s="111"/>
      <c r="D11" s="111"/>
      <c r="E11" s="111"/>
      <c r="F11" s="111"/>
      <c r="G11" s="111"/>
      <c r="H11" s="111"/>
      <c r="I11" s="111"/>
      <c r="J11" s="111"/>
    </row>
    <row r="12" spans="1:11" ht="12.75" x14ac:dyDescent="0.2">
      <c r="A12" s="110" t="s">
        <v>207</v>
      </c>
      <c r="B12" s="89"/>
      <c r="C12" s="89"/>
      <c r="D12" s="89"/>
      <c r="E12" s="89"/>
      <c r="F12" s="89"/>
      <c r="G12" s="89"/>
      <c r="H12" s="89"/>
      <c r="I12" s="89"/>
      <c r="J12" s="88"/>
    </row>
    <row r="13" spans="1:11" ht="12.75" x14ac:dyDescent="0.2">
      <c r="A13" s="111"/>
      <c r="B13" s="111"/>
      <c r="C13" s="111"/>
      <c r="D13" s="111"/>
      <c r="E13" s="111"/>
      <c r="F13" s="111"/>
      <c r="G13" s="111"/>
      <c r="H13" s="111"/>
      <c r="I13" s="111"/>
      <c r="J13" s="111"/>
    </row>
    <row r="14" spans="1:11" ht="12.75" x14ac:dyDescent="0.2">
      <c r="A14" s="110" t="s">
        <v>206</v>
      </c>
      <c r="B14" s="89"/>
      <c r="C14" s="89"/>
      <c r="D14" s="89"/>
      <c r="E14" s="89"/>
      <c r="F14" s="89"/>
      <c r="G14" s="89"/>
      <c r="H14" s="89"/>
      <c r="I14" s="89"/>
      <c r="J14" s="88"/>
    </row>
  </sheetData>
  <mergeCells count="4">
    <mergeCell ref="D2:H2"/>
    <mergeCell ref="A5:J5"/>
    <mergeCell ref="A12:J12"/>
    <mergeCell ref="A14:J14"/>
  </mergeCells>
  <hyperlinks>
    <hyperlink ref="K8" r:id="rId1" xr:uid="{00000000-0004-0000-0100-000000000000}"/>
    <hyperlink ref="K9" r:id="rId2" xr:uid="{00000000-0004-0000-0100-000001000000}"/>
    <hyperlink ref="K10" r:id="rId3" xr:uid="{00000000-0004-0000-0100-000002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06CD3-81EA-4B55-8589-DA8EE5A40862}">
  <dimension ref="A1:Z1000"/>
  <sheetViews>
    <sheetView topLeftCell="A4" workbookViewId="0">
      <selection activeCell="B10" sqref="B10:K10"/>
    </sheetView>
  </sheetViews>
  <sheetFormatPr baseColWidth="10" defaultColWidth="12.5703125" defaultRowHeight="15" customHeight="1" x14ac:dyDescent="0.2"/>
  <cols>
    <col min="1" max="3" width="19.140625" style="32" customWidth="1"/>
    <col min="4" max="4" width="21.85546875" style="32" customWidth="1"/>
    <col min="5" max="6" width="17" style="32" customWidth="1"/>
    <col min="7" max="7" width="18" style="32" customWidth="1"/>
    <col min="8" max="8" width="17" style="32" customWidth="1"/>
    <col min="9" max="10" width="19.140625" style="32" customWidth="1"/>
    <col min="11" max="11" width="60.85546875" style="32" customWidth="1"/>
    <col min="12" max="26" width="10" style="32" customWidth="1"/>
    <col min="27" max="16384" width="12.5703125" style="32"/>
  </cols>
  <sheetData>
    <row r="1" spans="1:26" ht="12.75" customHeight="1" x14ac:dyDescent="0.2">
      <c r="A1" s="222"/>
      <c r="B1" s="222"/>
      <c r="C1" s="222"/>
      <c r="D1" s="222"/>
      <c r="E1" s="222"/>
      <c r="F1" s="222"/>
      <c r="G1" s="222"/>
      <c r="H1" s="222"/>
      <c r="I1" s="222"/>
      <c r="J1" s="222"/>
      <c r="K1" s="222"/>
    </row>
    <row r="2" spans="1:26" ht="27.75" customHeight="1" x14ac:dyDescent="0.2">
      <c r="A2" s="222"/>
      <c r="B2" s="222"/>
      <c r="C2" s="222"/>
      <c r="D2" s="109" t="s">
        <v>163</v>
      </c>
      <c r="E2" s="223"/>
      <c r="F2" s="223"/>
      <c r="G2" s="223"/>
      <c r="H2" s="223"/>
      <c r="I2" s="222"/>
      <c r="J2" s="222"/>
      <c r="K2" s="222"/>
    </row>
    <row r="3" spans="1:26" ht="12.75" customHeight="1" x14ac:dyDescent="0.2">
      <c r="A3" s="222"/>
      <c r="B3" s="222"/>
      <c r="C3" s="222"/>
      <c r="D3" s="222"/>
      <c r="E3" s="222"/>
      <c r="F3" s="222"/>
      <c r="G3" s="222"/>
      <c r="H3" s="222"/>
      <c r="I3" s="222"/>
      <c r="J3" s="222"/>
      <c r="K3" s="222"/>
    </row>
    <row r="4" spans="1:26" ht="12.75" customHeight="1" x14ac:dyDescent="0.2">
      <c r="A4" s="222"/>
      <c r="B4" s="222"/>
      <c r="C4" s="222"/>
      <c r="D4" s="222"/>
      <c r="E4" s="222"/>
      <c r="F4" s="222"/>
      <c r="G4" s="222"/>
      <c r="H4" s="222"/>
      <c r="I4" s="222"/>
      <c r="J4" s="222"/>
      <c r="K4" s="222"/>
    </row>
    <row r="5" spans="1:26" ht="43.5" customHeight="1" x14ac:dyDescent="0.2">
      <c r="A5" s="107" t="s">
        <v>1</v>
      </c>
      <c r="B5" s="224"/>
      <c r="C5" s="224"/>
      <c r="D5" s="224"/>
      <c r="E5" s="224"/>
      <c r="F5" s="224"/>
      <c r="G5" s="224"/>
      <c r="H5" s="224"/>
      <c r="I5" s="224"/>
      <c r="J5" s="225"/>
      <c r="K5" s="222"/>
    </row>
    <row r="6" spans="1:26" ht="15.75" customHeight="1" x14ac:dyDescent="0.2">
      <c r="A6" s="222"/>
      <c r="B6" s="222"/>
      <c r="C6" s="222"/>
      <c r="D6" s="222"/>
      <c r="E6" s="222"/>
      <c r="F6" s="222"/>
      <c r="G6" s="222"/>
      <c r="H6" s="222"/>
      <c r="I6" s="222"/>
      <c r="J6" s="222"/>
      <c r="K6" s="222"/>
    </row>
    <row r="7" spans="1:26" ht="75.75" customHeight="1" x14ac:dyDescent="0.2">
      <c r="A7" s="106" t="s">
        <v>2</v>
      </c>
      <c r="B7" s="103" t="s">
        <v>460</v>
      </c>
      <c r="C7" s="103" t="s">
        <v>440</v>
      </c>
      <c r="D7" s="103" t="s">
        <v>461</v>
      </c>
      <c r="E7" s="103" t="s">
        <v>462</v>
      </c>
      <c r="F7" s="105" t="s">
        <v>463</v>
      </c>
      <c r="G7" s="104" t="s">
        <v>456</v>
      </c>
      <c r="H7" s="103" t="s">
        <v>156</v>
      </c>
      <c r="I7" s="103" t="s">
        <v>464</v>
      </c>
      <c r="J7" s="103" t="s">
        <v>465</v>
      </c>
      <c r="K7" s="99" t="s">
        <v>23</v>
      </c>
      <c r="L7" s="45"/>
      <c r="M7" s="45"/>
      <c r="N7" s="45"/>
      <c r="O7" s="45"/>
      <c r="P7" s="45"/>
      <c r="Q7" s="45"/>
      <c r="R7" s="45"/>
      <c r="S7" s="45"/>
      <c r="T7" s="45"/>
      <c r="U7" s="45"/>
      <c r="V7" s="45"/>
      <c r="W7" s="45"/>
      <c r="X7" s="45"/>
      <c r="Y7" s="45"/>
      <c r="Z7" s="45"/>
    </row>
    <row r="8" spans="1:26" ht="100.5" customHeight="1" x14ac:dyDescent="0.2">
      <c r="A8" s="99" t="s">
        <v>3</v>
      </c>
      <c r="B8" s="112" t="s">
        <v>220</v>
      </c>
      <c r="C8" s="226" t="s">
        <v>225</v>
      </c>
      <c r="D8" s="226" t="s">
        <v>224</v>
      </c>
      <c r="E8" s="121">
        <v>210</v>
      </c>
      <c r="F8" s="120">
        <v>249.9</v>
      </c>
      <c r="G8" s="95" t="s">
        <v>223</v>
      </c>
      <c r="H8" s="227" t="s">
        <v>28</v>
      </c>
      <c r="I8" s="112" t="s">
        <v>20</v>
      </c>
      <c r="J8" s="122" t="s">
        <v>222</v>
      </c>
      <c r="K8" s="228" t="s">
        <v>221</v>
      </c>
    </row>
    <row r="9" spans="1:26" ht="98.25" customHeight="1" x14ac:dyDescent="0.2">
      <c r="A9" s="99" t="s">
        <v>4</v>
      </c>
      <c r="B9" s="112" t="s">
        <v>220</v>
      </c>
      <c r="C9" s="112" t="s">
        <v>219</v>
      </c>
      <c r="D9" s="112" t="s">
        <v>218</v>
      </c>
      <c r="E9" s="120">
        <v>225</v>
      </c>
      <c r="F9" s="120">
        <v>267.75</v>
      </c>
      <c r="G9" s="95" t="s">
        <v>217</v>
      </c>
      <c r="H9" s="227" t="s">
        <v>37</v>
      </c>
      <c r="I9" s="112" t="s">
        <v>216</v>
      </c>
      <c r="J9" s="122" t="s">
        <v>215</v>
      </c>
      <c r="K9" s="228" t="s">
        <v>214</v>
      </c>
    </row>
    <row r="10" spans="1:26" ht="91.5" customHeight="1" x14ac:dyDescent="0.2">
      <c r="A10" s="99" t="s">
        <v>5</v>
      </c>
      <c r="B10" s="112" t="s">
        <v>213</v>
      </c>
      <c r="C10" s="226" t="s">
        <v>212</v>
      </c>
      <c r="D10" s="112" t="s">
        <v>211</v>
      </c>
      <c r="E10" s="121">
        <v>200</v>
      </c>
      <c r="F10" s="120">
        <v>238</v>
      </c>
      <c r="G10" s="95" t="s">
        <v>210</v>
      </c>
      <c r="H10" s="227" t="s">
        <v>28</v>
      </c>
      <c r="I10" s="112" t="s">
        <v>20</v>
      </c>
      <c r="J10" s="122" t="s">
        <v>209</v>
      </c>
      <c r="K10" s="228" t="s">
        <v>208</v>
      </c>
    </row>
    <row r="11" spans="1:26" ht="91.5" customHeight="1" x14ac:dyDescent="0.2">
      <c r="A11" s="92"/>
      <c r="B11" s="91"/>
      <c r="C11" s="91"/>
      <c r="D11" s="91"/>
      <c r="E11" s="91"/>
      <c r="F11" s="91"/>
      <c r="G11" s="91"/>
      <c r="H11" s="91"/>
      <c r="I11" s="91"/>
      <c r="J11" s="91"/>
      <c r="K11" s="222"/>
    </row>
    <row r="12" spans="1:26" ht="91.5" customHeight="1" x14ac:dyDescent="0.2">
      <c r="A12" s="222"/>
      <c r="B12" s="222"/>
      <c r="C12" s="222"/>
      <c r="D12" s="222"/>
      <c r="E12" s="222"/>
      <c r="F12" s="222"/>
      <c r="G12" s="222"/>
      <c r="H12" s="222"/>
      <c r="I12" s="222"/>
      <c r="J12" s="222"/>
      <c r="K12" s="222"/>
    </row>
    <row r="13" spans="1:26" ht="91.5" customHeight="1" x14ac:dyDescent="0.2">
      <c r="A13" s="90" t="s">
        <v>457</v>
      </c>
      <c r="B13" s="224"/>
      <c r="C13" s="224"/>
      <c r="D13" s="224"/>
      <c r="E13" s="224"/>
      <c r="F13" s="224"/>
      <c r="G13" s="224"/>
      <c r="H13" s="224"/>
      <c r="I13" s="224"/>
      <c r="J13" s="225"/>
      <c r="K13" s="222"/>
    </row>
    <row r="14" spans="1:26" ht="12.75" customHeight="1" x14ac:dyDescent="0.2">
      <c r="A14" s="222"/>
      <c r="B14" s="222"/>
      <c r="C14" s="222"/>
      <c r="D14" s="222"/>
      <c r="E14" s="222"/>
      <c r="F14" s="222"/>
      <c r="G14" s="222"/>
      <c r="H14" s="222"/>
      <c r="I14" s="222"/>
      <c r="J14" s="222"/>
      <c r="K14" s="222"/>
    </row>
    <row r="15" spans="1:26" ht="75" customHeight="1" x14ac:dyDescent="0.2">
      <c r="A15" s="90" t="s">
        <v>458</v>
      </c>
      <c r="B15" s="224"/>
      <c r="C15" s="224"/>
      <c r="D15" s="224"/>
      <c r="E15" s="224"/>
      <c r="F15" s="224"/>
      <c r="G15" s="224"/>
      <c r="H15" s="224"/>
      <c r="I15" s="224"/>
      <c r="J15" s="225"/>
      <c r="K15" s="222"/>
    </row>
    <row r="16" spans="1:26" ht="12.75" customHeight="1" x14ac:dyDescent="0.2"/>
    <row r="17" spans="4:7" ht="12.75" customHeight="1" x14ac:dyDescent="0.2"/>
    <row r="18" spans="4:7" ht="12.75" customHeight="1" x14ac:dyDescent="0.2"/>
    <row r="19" spans="4:7" ht="12.75" customHeight="1" x14ac:dyDescent="0.2"/>
    <row r="20" spans="4:7" ht="12.75" customHeight="1" x14ac:dyDescent="0.2"/>
    <row r="21" spans="4:7" ht="12.75" customHeight="1" x14ac:dyDescent="0.2"/>
    <row r="22" spans="4:7" ht="12.75" customHeight="1" x14ac:dyDescent="0.2"/>
    <row r="23" spans="4:7" ht="12.75" customHeight="1" x14ac:dyDescent="0.2"/>
    <row r="24" spans="4:7" ht="12.75" customHeight="1" x14ac:dyDescent="0.2"/>
    <row r="25" spans="4:7" ht="12.75" customHeight="1" x14ac:dyDescent="0.2"/>
    <row r="26" spans="4:7" ht="12.75" customHeight="1" x14ac:dyDescent="0.2">
      <c r="D26" s="56"/>
      <c r="E26" s="56"/>
      <c r="F26" s="55"/>
      <c r="G26" s="55"/>
    </row>
    <row r="27" spans="4:7" ht="12.75" customHeight="1" x14ac:dyDescent="0.2"/>
    <row r="28" spans="4:7" ht="12.75" customHeight="1" x14ac:dyDescent="0.2"/>
    <row r="29" spans="4:7" ht="12.75" customHeight="1" x14ac:dyDescent="0.2"/>
    <row r="30" spans="4:7" ht="12.75" customHeight="1" x14ac:dyDescent="0.2"/>
    <row r="31" spans="4:7" ht="12.75" customHeight="1" x14ac:dyDescent="0.2"/>
    <row r="32" spans="4:7"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4">
    <mergeCell ref="D2:H2"/>
    <mergeCell ref="A5:J5"/>
    <mergeCell ref="A13:J13"/>
    <mergeCell ref="A15:J15"/>
  </mergeCells>
  <hyperlinks>
    <hyperlink ref="K8" r:id="rId1" xr:uid="{00000000-0004-0000-0000-000000000000}"/>
    <hyperlink ref="K9" r:id="rId2" xr:uid="{00000000-0004-0000-0000-000001000000}"/>
    <hyperlink ref="K10" r:id="rId3" xr:uid="{00000000-0004-0000-0000-000002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CA95B-03BF-4AF9-B07E-2D76199C59C9}">
  <dimension ref="A1:Z1002"/>
  <sheetViews>
    <sheetView workbookViewId="0">
      <selection activeCell="K8" sqref="B8:K8"/>
    </sheetView>
  </sheetViews>
  <sheetFormatPr baseColWidth="10" defaultColWidth="12.5703125" defaultRowHeight="15" customHeight="1" x14ac:dyDescent="0.2"/>
  <cols>
    <col min="1" max="3" width="19.140625" style="133" customWidth="1"/>
    <col min="4" max="4" width="21.85546875" style="133" customWidth="1"/>
    <col min="5" max="6" width="17" style="133" customWidth="1"/>
    <col min="7" max="7" width="18" style="133" customWidth="1"/>
    <col min="8" max="8" width="17" style="133" customWidth="1"/>
    <col min="9" max="10" width="19.140625" style="133" customWidth="1"/>
    <col min="11" max="11" width="25.7109375" style="133" customWidth="1"/>
    <col min="12" max="26" width="10" style="133" customWidth="1"/>
    <col min="27" max="16384" width="12.5703125" style="133"/>
  </cols>
  <sheetData>
    <row r="1" spans="1:26" ht="12.75" customHeight="1" x14ac:dyDescent="0.25">
      <c r="A1" s="33"/>
      <c r="B1" s="33"/>
      <c r="C1" s="33"/>
      <c r="D1" s="33"/>
      <c r="E1" s="33"/>
      <c r="F1" s="33"/>
      <c r="G1" s="33"/>
      <c r="H1" s="33"/>
      <c r="I1" s="33"/>
      <c r="J1" s="33"/>
      <c r="K1" s="135"/>
      <c r="L1" s="135"/>
      <c r="M1" s="135"/>
    </row>
    <row r="2" spans="1:26" ht="27.75" customHeight="1" x14ac:dyDescent="0.25">
      <c r="A2" s="33"/>
      <c r="B2" s="33"/>
      <c r="C2" s="33"/>
      <c r="D2" s="145" t="s">
        <v>323</v>
      </c>
      <c r="E2" s="144"/>
      <c r="F2" s="144"/>
      <c r="G2" s="144"/>
      <c r="H2" s="144"/>
      <c r="I2" s="33"/>
      <c r="J2" s="33"/>
      <c r="K2" s="135"/>
      <c r="L2" s="135"/>
      <c r="M2" s="135"/>
    </row>
    <row r="3" spans="1:26" ht="12.75" customHeight="1" x14ac:dyDescent="0.25">
      <c r="A3" s="33"/>
      <c r="B3" s="33"/>
      <c r="C3" s="33"/>
      <c r="D3" s="33"/>
      <c r="E3" s="33"/>
      <c r="F3" s="33"/>
      <c r="G3" s="33"/>
      <c r="H3" s="33"/>
      <c r="I3" s="33"/>
      <c r="J3" s="33"/>
      <c r="K3" s="135"/>
      <c r="L3" s="135"/>
      <c r="M3" s="135"/>
    </row>
    <row r="4" spans="1:26" ht="12.75" customHeight="1" x14ac:dyDescent="0.25">
      <c r="A4" s="33"/>
      <c r="B4" s="33"/>
      <c r="C4" s="33"/>
      <c r="D4" s="33"/>
      <c r="E4" s="33"/>
      <c r="F4" s="33"/>
      <c r="G4" s="33"/>
      <c r="H4" s="33"/>
      <c r="I4" s="33"/>
      <c r="J4" s="33"/>
      <c r="K4" s="135"/>
      <c r="L4" s="135"/>
      <c r="M4" s="135"/>
    </row>
    <row r="5" spans="1:26" ht="43.5" customHeight="1" x14ac:dyDescent="0.25">
      <c r="A5" s="143" t="s">
        <v>1</v>
      </c>
      <c r="B5" s="142"/>
      <c r="C5" s="142"/>
      <c r="D5" s="142"/>
      <c r="E5" s="142"/>
      <c r="F5" s="142"/>
      <c r="G5" s="142"/>
      <c r="H5" s="142"/>
      <c r="I5" s="142"/>
      <c r="J5" s="141"/>
      <c r="K5" s="135"/>
      <c r="L5" s="135"/>
      <c r="M5" s="135"/>
    </row>
    <row r="6" spans="1:26" ht="15.75" customHeight="1" x14ac:dyDescent="0.25">
      <c r="A6" s="33"/>
      <c r="B6" s="33"/>
      <c r="C6" s="33"/>
      <c r="D6" s="33"/>
      <c r="E6" s="33"/>
      <c r="F6" s="33"/>
      <c r="G6" s="33"/>
      <c r="H6" s="33"/>
      <c r="I6" s="33"/>
      <c r="J6" s="33"/>
      <c r="K6" s="135"/>
      <c r="L6" s="135"/>
      <c r="M6" s="135"/>
    </row>
    <row r="7" spans="1:26" ht="110.25" x14ac:dyDescent="0.2">
      <c r="A7" s="237" t="s">
        <v>2</v>
      </c>
      <c r="B7" s="238" t="s">
        <v>322</v>
      </c>
      <c r="C7" s="238" t="s">
        <v>321</v>
      </c>
      <c r="D7" s="238" t="s">
        <v>320</v>
      </c>
      <c r="E7" s="238" t="s">
        <v>319</v>
      </c>
      <c r="F7" s="239" t="s">
        <v>318</v>
      </c>
      <c r="G7" s="240" t="s">
        <v>317</v>
      </c>
      <c r="H7" s="238" t="s">
        <v>156</v>
      </c>
      <c r="I7" s="238" t="s">
        <v>316</v>
      </c>
      <c r="J7" s="241" t="s">
        <v>315</v>
      </c>
      <c r="K7" s="242" t="s">
        <v>314</v>
      </c>
      <c r="L7" s="84"/>
      <c r="M7" s="84"/>
      <c r="N7" s="45"/>
      <c r="O7" s="45"/>
      <c r="P7" s="45"/>
      <c r="Q7" s="45"/>
      <c r="R7" s="45"/>
      <c r="S7" s="45"/>
      <c r="T7" s="45"/>
      <c r="U7" s="45"/>
      <c r="V7" s="45"/>
      <c r="W7" s="45"/>
      <c r="X7" s="45"/>
      <c r="Y7" s="45"/>
      <c r="Z7" s="45"/>
    </row>
    <row r="8" spans="1:26" ht="78.75" x14ac:dyDescent="0.25">
      <c r="A8" s="153" t="s">
        <v>3</v>
      </c>
      <c r="B8" s="151" t="s">
        <v>313</v>
      </c>
      <c r="C8" s="151" t="s">
        <v>312</v>
      </c>
      <c r="D8" s="151" t="s">
        <v>311</v>
      </c>
      <c r="E8" s="151" t="s">
        <v>310</v>
      </c>
      <c r="F8" s="151" t="s">
        <v>309</v>
      </c>
      <c r="G8" s="151" t="s">
        <v>297</v>
      </c>
      <c r="H8" s="151" t="s">
        <v>296</v>
      </c>
      <c r="I8" s="151" t="s">
        <v>20</v>
      </c>
      <c r="J8" s="243" t="s">
        <v>308</v>
      </c>
      <c r="K8" s="151" t="s">
        <v>307</v>
      </c>
      <c r="L8" s="135"/>
      <c r="M8" s="135"/>
    </row>
    <row r="9" spans="1:26" ht="63" x14ac:dyDescent="0.25">
      <c r="A9" s="153" t="s">
        <v>306</v>
      </c>
      <c r="B9" s="151" t="s">
        <v>305</v>
      </c>
      <c r="C9" s="151" t="s">
        <v>304</v>
      </c>
      <c r="D9" s="151" t="s">
        <v>303</v>
      </c>
      <c r="E9" s="152">
        <v>1600000</v>
      </c>
      <c r="F9" s="152">
        <v>1700000</v>
      </c>
      <c r="G9" s="151" t="s">
        <v>297</v>
      </c>
      <c r="H9" s="151" t="s">
        <v>296</v>
      </c>
      <c r="I9" s="151" t="s">
        <v>20</v>
      </c>
      <c r="J9" s="243" t="s">
        <v>302</v>
      </c>
      <c r="K9" s="151" t="s">
        <v>301</v>
      </c>
      <c r="L9" s="135"/>
      <c r="M9" s="135"/>
    </row>
    <row r="10" spans="1:26" ht="47.25" x14ac:dyDescent="0.25">
      <c r="A10" s="153" t="s">
        <v>5</v>
      </c>
      <c r="B10" s="151" t="s">
        <v>300</v>
      </c>
      <c r="C10" s="151" t="s">
        <v>299</v>
      </c>
      <c r="D10" s="151" t="s">
        <v>298</v>
      </c>
      <c r="E10" s="152">
        <v>1550000</v>
      </c>
      <c r="F10" s="152">
        <v>1650000</v>
      </c>
      <c r="G10" s="151" t="s">
        <v>297</v>
      </c>
      <c r="H10" s="151" t="s">
        <v>296</v>
      </c>
      <c r="I10" s="151" t="s">
        <v>20</v>
      </c>
      <c r="J10" s="243" t="s">
        <v>295</v>
      </c>
      <c r="K10" s="151" t="s">
        <v>294</v>
      </c>
      <c r="L10" s="135"/>
      <c r="M10" s="135"/>
    </row>
    <row r="11" spans="1:26" ht="15" hidden="1" customHeight="1" x14ac:dyDescent="0.25">
      <c r="A11" s="59"/>
      <c r="B11" s="39"/>
      <c r="C11" s="39"/>
      <c r="D11" s="39"/>
      <c r="E11" s="39"/>
      <c r="F11" s="39"/>
      <c r="G11" s="39"/>
      <c r="H11" s="39"/>
      <c r="I11" s="39"/>
      <c r="J11" s="39"/>
      <c r="K11" s="135"/>
      <c r="L11" s="135"/>
      <c r="M11" s="135"/>
    </row>
    <row r="12" spans="1:26" ht="12.75" customHeight="1" x14ac:dyDescent="0.25">
      <c r="A12" s="33"/>
      <c r="B12" s="33"/>
      <c r="C12" s="33"/>
      <c r="D12" s="33"/>
      <c r="E12" s="33"/>
      <c r="F12" s="33"/>
      <c r="G12" s="33"/>
      <c r="H12" s="33"/>
      <c r="I12" s="33"/>
      <c r="J12" s="33"/>
      <c r="K12" s="135"/>
      <c r="L12" s="135"/>
      <c r="M12" s="135"/>
    </row>
    <row r="13" spans="1:26" ht="138.75" customHeight="1" x14ac:dyDescent="0.25">
      <c r="A13" s="136" t="s">
        <v>293</v>
      </c>
      <c r="B13" s="37"/>
      <c r="C13" s="37"/>
      <c r="D13" s="37"/>
      <c r="E13" s="37"/>
      <c r="F13" s="37"/>
      <c r="G13" s="37"/>
      <c r="H13" s="37"/>
      <c r="I13" s="37"/>
      <c r="J13" s="36"/>
      <c r="K13" s="135"/>
      <c r="L13" s="135"/>
      <c r="M13" s="135"/>
    </row>
    <row r="14" spans="1:26" ht="12.75" customHeight="1" x14ac:dyDescent="0.25">
      <c r="A14" s="33"/>
      <c r="B14" s="33"/>
      <c r="C14" s="33"/>
      <c r="D14" s="33"/>
      <c r="E14" s="33"/>
      <c r="F14" s="33"/>
      <c r="G14" s="33"/>
      <c r="H14" s="33"/>
      <c r="I14" s="33"/>
      <c r="J14" s="33"/>
      <c r="K14" s="135"/>
      <c r="L14" s="135"/>
      <c r="M14" s="135"/>
    </row>
    <row r="15" spans="1:26" ht="75" customHeight="1" x14ac:dyDescent="0.25">
      <c r="A15" s="136" t="s">
        <v>292</v>
      </c>
      <c r="B15" s="37"/>
      <c r="C15" s="37"/>
      <c r="D15" s="37"/>
      <c r="E15" s="37"/>
      <c r="F15" s="37"/>
      <c r="G15" s="37"/>
      <c r="H15" s="37"/>
      <c r="I15" s="37"/>
      <c r="J15" s="36"/>
      <c r="K15" s="135"/>
      <c r="L15" s="135"/>
      <c r="M15" s="135"/>
    </row>
    <row r="16" spans="1:26" ht="12.75" customHeight="1" x14ac:dyDescent="0.25">
      <c r="A16" s="33"/>
      <c r="B16" s="33"/>
      <c r="C16" s="33"/>
      <c r="D16" s="33"/>
      <c r="E16" s="33"/>
      <c r="F16" s="33"/>
      <c r="G16" s="33"/>
      <c r="H16" s="33"/>
      <c r="I16" s="33"/>
      <c r="J16" s="33"/>
      <c r="K16" s="135"/>
      <c r="L16" s="135"/>
      <c r="M16" s="135"/>
    </row>
    <row r="17" spans="1:13" ht="12.75" customHeight="1" x14ac:dyDescent="0.25">
      <c r="A17" s="33"/>
      <c r="B17" s="33"/>
      <c r="C17" s="33"/>
      <c r="D17" s="33"/>
      <c r="E17" s="33"/>
      <c r="F17" s="33"/>
      <c r="G17" s="33"/>
      <c r="H17" s="33"/>
      <c r="I17" s="33"/>
      <c r="J17" s="33"/>
      <c r="K17" s="135"/>
      <c r="L17" s="135"/>
      <c r="M17" s="135"/>
    </row>
    <row r="18" spans="1:13" ht="12.75" customHeight="1" x14ac:dyDescent="0.25">
      <c r="A18" s="33"/>
      <c r="B18" s="33"/>
      <c r="C18" s="33"/>
      <c r="D18" s="33"/>
      <c r="E18" s="33"/>
      <c r="F18" s="33"/>
      <c r="G18" s="33"/>
      <c r="H18" s="33"/>
      <c r="I18" s="33"/>
      <c r="J18" s="33"/>
      <c r="K18" s="135"/>
      <c r="L18" s="135"/>
      <c r="M18" s="135"/>
    </row>
    <row r="19" spans="1:13" ht="12.75" customHeight="1" x14ac:dyDescent="0.25">
      <c r="A19" s="134"/>
      <c r="B19" s="33"/>
      <c r="C19" s="33"/>
      <c r="D19" s="33"/>
      <c r="E19" s="33"/>
      <c r="F19" s="33"/>
      <c r="G19" s="33"/>
      <c r="H19" s="33"/>
      <c r="I19" s="33"/>
      <c r="J19" s="33"/>
      <c r="K19" s="135"/>
      <c r="L19" s="135"/>
      <c r="M19" s="135"/>
    </row>
    <row r="20" spans="1:13" ht="12.75" customHeight="1" x14ac:dyDescent="0.25">
      <c r="A20" s="134"/>
      <c r="B20" s="33"/>
      <c r="C20" s="33"/>
      <c r="D20" s="33"/>
      <c r="E20" s="33"/>
      <c r="F20" s="33"/>
      <c r="G20" s="33"/>
      <c r="H20" s="33"/>
      <c r="I20" s="33"/>
      <c r="J20" s="33"/>
      <c r="K20" s="135"/>
      <c r="L20" s="135"/>
      <c r="M20" s="135"/>
    </row>
    <row r="21" spans="1:13" ht="12.75" customHeight="1" x14ac:dyDescent="0.2">
      <c r="A21" s="134"/>
      <c r="B21" s="33"/>
      <c r="C21" s="33"/>
      <c r="D21" s="33"/>
      <c r="E21" s="33"/>
      <c r="F21" s="33"/>
      <c r="G21" s="33"/>
      <c r="H21" s="33"/>
      <c r="I21" s="33"/>
      <c r="J21" s="33"/>
    </row>
    <row r="22" spans="1:13" ht="12.75" customHeight="1" x14ac:dyDescent="0.2"/>
    <row r="23" spans="1:13" ht="12.75" customHeight="1" x14ac:dyDescent="0.2"/>
    <row r="24" spans="1:13" ht="12.75" customHeight="1" x14ac:dyDescent="0.2"/>
    <row r="25" spans="1:13" ht="12.75" customHeight="1" x14ac:dyDescent="0.2"/>
    <row r="26" spans="1:13" ht="12.75" customHeight="1" x14ac:dyDescent="0.2"/>
    <row r="27" spans="1:13" ht="12.75" customHeight="1" x14ac:dyDescent="0.2"/>
    <row r="28" spans="1:13" ht="12.75" customHeight="1" x14ac:dyDescent="0.2">
      <c r="D28" s="56"/>
      <c r="E28" s="56"/>
      <c r="F28" s="55"/>
      <c r="G28" s="55"/>
    </row>
    <row r="29" spans="1:13" ht="12.75" customHeight="1" x14ac:dyDescent="0.2"/>
    <row r="30" spans="1:13" ht="12.75" customHeight="1" x14ac:dyDescent="0.2"/>
    <row r="31" spans="1:13" ht="12.75" customHeight="1" x14ac:dyDescent="0.2"/>
    <row r="32" spans="1:13"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sheetData>
  <mergeCells count="4">
    <mergeCell ref="D2:H2"/>
    <mergeCell ref="A5:J5"/>
    <mergeCell ref="A13:J13"/>
    <mergeCell ref="A15:J15"/>
  </mergeCells>
  <pageMargins left="0.7" right="0.7" top="0.75" bottom="0.75" header="0" footer="0"/>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C5DA-1BED-4BE3-B015-3BCEE1798422}">
  <sheetPr>
    <outlinePr summaryBelow="0" summaryRight="0"/>
  </sheetPr>
  <dimension ref="A1:K14"/>
  <sheetViews>
    <sheetView workbookViewId="0">
      <selection activeCell="B10" sqref="B10:K10"/>
    </sheetView>
  </sheetViews>
  <sheetFormatPr baseColWidth="10" defaultColWidth="12.5703125" defaultRowHeight="15" customHeight="1" x14ac:dyDescent="0.2"/>
  <cols>
    <col min="1" max="1" width="15.7109375" style="32" customWidth="1"/>
    <col min="2" max="2" width="21.28515625" style="32" customWidth="1"/>
    <col min="3" max="3" width="22.5703125" style="32" customWidth="1"/>
    <col min="4" max="4" width="20.28515625" style="32" customWidth="1"/>
    <col min="5" max="5" width="28.42578125" style="32" customWidth="1"/>
    <col min="6" max="6" width="20.5703125" style="32" customWidth="1"/>
    <col min="7" max="7" width="21.28515625" style="32" customWidth="1"/>
    <col min="8" max="8" width="26.7109375" style="32" customWidth="1"/>
    <col min="9" max="9" width="30.5703125" style="32" customWidth="1"/>
    <col min="10" max="10" width="25.140625" style="32" customWidth="1"/>
    <col min="11" max="11" width="25.28515625" style="32" customWidth="1"/>
    <col min="12" max="16384" width="12.5703125" style="32"/>
  </cols>
  <sheetData>
    <row r="1" spans="1:11" ht="12.75" x14ac:dyDescent="0.2">
      <c r="A1" s="124"/>
      <c r="B1" s="111"/>
      <c r="C1" s="111"/>
      <c r="D1" s="111"/>
      <c r="E1" s="111"/>
      <c r="F1" s="111"/>
      <c r="G1" s="111"/>
      <c r="H1" s="111"/>
      <c r="I1" s="111"/>
      <c r="J1" s="111"/>
    </row>
    <row r="2" spans="1:11" ht="15.75" x14ac:dyDescent="0.25">
      <c r="A2" s="111"/>
      <c r="B2" s="111"/>
      <c r="C2" s="111"/>
      <c r="D2" s="118" t="s">
        <v>163</v>
      </c>
      <c r="E2" s="108"/>
      <c r="F2" s="108"/>
      <c r="G2" s="108"/>
      <c r="H2" s="108"/>
      <c r="I2" s="111"/>
      <c r="J2" s="111"/>
    </row>
    <row r="3" spans="1:11" ht="12.75" x14ac:dyDescent="0.2">
      <c r="A3" s="111"/>
      <c r="B3" s="111"/>
      <c r="C3" s="111"/>
      <c r="D3" s="111"/>
      <c r="E3" s="111"/>
      <c r="F3" s="111"/>
      <c r="G3" s="111"/>
      <c r="H3" s="111"/>
      <c r="I3" s="111"/>
      <c r="J3" s="111"/>
    </row>
    <row r="4" spans="1:11" ht="12.75" x14ac:dyDescent="0.2">
      <c r="A4" s="111"/>
      <c r="B4" s="111"/>
      <c r="C4" s="111"/>
      <c r="D4" s="111"/>
      <c r="E4" s="111"/>
      <c r="F4" s="111"/>
      <c r="G4" s="111"/>
      <c r="H4" s="111"/>
      <c r="I4" s="111"/>
      <c r="J4" s="111"/>
    </row>
    <row r="5" spans="1:11" ht="13.5" x14ac:dyDescent="0.25">
      <c r="A5" s="117" t="s">
        <v>1</v>
      </c>
      <c r="B5" s="89"/>
      <c r="C5" s="89"/>
      <c r="D5" s="89"/>
      <c r="E5" s="89"/>
      <c r="F5" s="89"/>
      <c r="G5" s="89"/>
      <c r="H5" s="89"/>
      <c r="I5" s="89"/>
      <c r="J5" s="88"/>
    </row>
    <row r="6" spans="1:11" ht="12.75" x14ac:dyDescent="0.2">
      <c r="A6" s="111"/>
      <c r="B6" s="111"/>
      <c r="C6" s="111"/>
      <c r="D6" s="111"/>
      <c r="E6" s="111"/>
      <c r="F6" s="111"/>
      <c r="G6" s="111"/>
      <c r="H6" s="111"/>
      <c r="I6" s="111"/>
      <c r="J6" s="111"/>
    </row>
    <row r="7" spans="1:11" ht="87" customHeight="1" x14ac:dyDescent="0.2">
      <c r="A7" s="106" t="s">
        <v>2</v>
      </c>
      <c r="B7" s="103" t="s">
        <v>233</v>
      </c>
      <c r="C7" s="103" t="s">
        <v>232</v>
      </c>
      <c r="D7" s="103" t="s">
        <v>231</v>
      </c>
      <c r="E7" s="103" t="s">
        <v>230</v>
      </c>
      <c r="F7" s="105" t="s">
        <v>229</v>
      </c>
      <c r="G7" s="116" t="s">
        <v>228</v>
      </c>
      <c r="H7" s="103" t="s">
        <v>156</v>
      </c>
      <c r="I7" s="103" t="s">
        <v>227</v>
      </c>
      <c r="J7" s="103" t="s">
        <v>226</v>
      </c>
      <c r="K7" s="123" t="s">
        <v>23</v>
      </c>
    </row>
    <row r="8" spans="1:11" ht="95.25" customHeight="1" x14ac:dyDescent="0.2">
      <c r="A8" s="99" t="s">
        <v>3</v>
      </c>
      <c r="B8" s="112" t="s">
        <v>273</v>
      </c>
      <c r="C8" s="112" t="s">
        <v>279</v>
      </c>
      <c r="D8" s="112" t="s">
        <v>278</v>
      </c>
      <c r="E8" s="120">
        <v>50</v>
      </c>
      <c r="F8" s="120">
        <v>59.5</v>
      </c>
      <c r="G8" s="95" t="s">
        <v>277</v>
      </c>
      <c r="H8" s="119" t="s">
        <v>276</v>
      </c>
      <c r="I8" s="112" t="str">
        <f>VLOOKUP(A8, 'RAM Admin'!$A$7:$K$10, 9, FALSE)</f>
        <v>Contado</v>
      </c>
      <c r="J8" s="112" t="s">
        <v>275</v>
      </c>
      <c r="K8" s="98" t="s">
        <v>274</v>
      </c>
    </row>
    <row r="9" spans="1:11" ht="106.5" customHeight="1" x14ac:dyDescent="0.2">
      <c r="A9" s="99" t="s">
        <v>4</v>
      </c>
      <c r="B9" s="112" t="s">
        <v>273</v>
      </c>
      <c r="C9" s="112" t="s">
        <v>272</v>
      </c>
      <c r="D9" s="122" t="s">
        <v>271</v>
      </c>
      <c r="E9" s="121">
        <v>45</v>
      </c>
      <c r="F9" s="120">
        <v>53.55</v>
      </c>
      <c r="G9" s="95" t="s">
        <v>270</v>
      </c>
      <c r="H9" s="119" t="s">
        <v>269</v>
      </c>
      <c r="I9" s="112" t="str">
        <f>VLOOKUP(A9, 'RAM Admin'!$A$7:$K$10, 9, FALSE)</f>
        <v>Contado o tarjeta</v>
      </c>
      <c r="J9" s="112" t="s">
        <v>268</v>
      </c>
      <c r="K9" s="98" t="s">
        <v>267</v>
      </c>
    </row>
    <row r="10" spans="1:11" ht="101.25" customHeight="1" x14ac:dyDescent="0.2">
      <c r="A10" s="99" t="s">
        <v>5</v>
      </c>
      <c r="B10" s="112" t="s">
        <v>266</v>
      </c>
      <c r="C10" s="112" t="s">
        <v>265</v>
      </c>
      <c r="D10" s="122" t="s">
        <v>264</v>
      </c>
      <c r="E10" s="121">
        <v>40</v>
      </c>
      <c r="F10" s="120">
        <v>47.6</v>
      </c>
      <c r="G10" s="95" t="s">
        <v>263</v>
      </c>
      <c r="H10" s="119" t="s">
        <v>262</v>
      </c>
      <c r="I10" s="112" t="str">
        <f>VLOOKUP(A10, 'RAM Admin'!$A$7:$K$10, 9, FALSE)</f>
        <v>Contado</v>
      </c>
      <c r="J10" s="112" t="s">
        <v>261</v>
      </c>
      <c r="K10" s="98" t="s">
        <v>260</v>
      </c>
    </row>
    <row r="11" spans="1:11" ht="13.5" customHeight="1" x14ac:dyDescent="0.2">
      <c r="A11" s="111"/>
      <c r="B11" s="111"/>
      <c r="C11" s="111"/>
      <c r="D11" s="111"/>
      <c r="E11" s="111"/>
      <c r="F11" s="111"/>
      <c r="G11" s="111"/>
      <c r="H11" s="111"/>
      <c r="I11" s="111"/>
      <c r="J11" s="111"/>
    </row>
    <row r="12" spans="1:11" ht="12.75" x14ac:dyDescent="0.2">
      <c r="A12" s="110" t="s">
        <v>207</v>
      </c>
      <c r="B12" s="89"/>
      <c r="C12" s="89"/>
      <c r="D12" s="89"/>
      <c r="E12" s="89"/>
      <c r="F12" s="89"/>
      <c r="G12" s="89"/>
      <c r="H12" s="89"/>
      <c r="I12" s="89"/>
      <c r="J12" s="88"/>
    </row>
    <row r="13" spans="1:11" ht="12.75" x14ac:dyDescent="0.2">
      <c r="A13" s="111"/>
      <c r="B13" s="111"/>
      <c r="C13" s="111"/>
      <c r="D13" s="111"/>
      <c r="E13" s="111"/>
      <c r="F13" s="111"/>
      <c r="G13" s="111"/>
      <c r="H13" s="111"/>
      <c r="I13" s="111"/>
      <c r="J13" s="111"/>
    </row>
    <row r="14" spans="1:11" ht="12.75" x14ac:dyDescent="0.2">
      <c r="A14" s="110" t="s">
        <v>206</v>
      </c>
      <c r="B14" s="89"/>
      <c r="C14" s="89"/>
      <c r="D14" s="89"/>
      <c r="E14" s="89"/>
      <c r="F14" s="89"/>
      <c r="G14" s="89"/>
      <c r="H14" s="89"/>
      <c r="I14" s="89"/>
      <c r="J14" s="88"/>
    </row>
  </sheetData>
  <mergeCells count="4">
    <mergeCell ref="D2:H2"/>
    <mergeCell ref="A5:J5"/>
    <mergeCell ref="A12:J12"/>
    <mergeCell ref="A14:J14"/>
  </mergeCells>
  <hyperlinks>
    <hyperlink ref="K8" r:id="rId1" xr:uid="{00000000-0004-0000-0200-000000000000}"/>
    <hyperlink ref="K9" r:id="rId2" xr:uid="{00000000-0004-0000-0200-000001000000}"/>
    <hyperlink ref="K10" r:id="rId3" xr:uid="{00000000-0004-0000-0200-000002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D0CF9-F074-44AE-ADB7-1F23D048C7B2}">
  <dimension ref="A1:Z1000"/>
  <sheetViews>
    <sheetView workbookViewId="0">
      <selection activeCell="B8" sqref="B8:K8"/>
    </sheetView>
  </sheetViews>
  <sheetFormatPr baseColWidth="10" defaultColWidth="12.5703125" defaultRowHeight="15" customHeight="1" x14ac:dyDescent="0.2"/>
  <cols>
    <col min="1" max="3" width="19.140625" style="32" customWidth="1"/>
    <col min="4" max="4" width="21.85546875" style="32" customWidth="1"/>
    <col min="5" max="6" width="17" style="32" customWidth="1"/>
    <col min="7" max="7" width="18" style="32" customWidth="1"/>
    <col min="8" max="8" width="17" style="32" customWidth="1"/>
    <col min="9" max="9" width="19.140625" style="32" customWidth="1"/>
    <col min="10" max="10" width="25.7109375" style="32" customWidth="1"/>
    <col min="11" max="11" width="50.7109375" style="32" customWidth="1"/>
    <col min="12" max="26" width="10" style="32" customWidth="1"/>
    <col min="27" max="16384" width="12.5703125" style="32"/>
  </cols>
  <sheetData>
    <row r="1" spans="1:26" ht="12.75" customHeight="1" x14ac:dyDescent="0.2"/>
    <row r="2" spans="1:26" ht="27.75" customHeight="1" x14ac:dyDescent="0.2">
      <c r="D2" s="109" t="s">
        <v>163</v>
      </c>
      <c r="E2" s="108"/>
      <c r="F2" s="108"/>
      <c r="G2" s="108"/>
      <c r="H2" s="108"/>
    </row>
    <row r="3" spans="1:26" ht="12.75" customHeight="1" x14ac:dyDescent="0.2"/>
    <row r="4" spans="1:26" ht="12.75" customHeight="1" x14ac:dyDescent="0.2"/>
    <row r="5" spans="1:26" ht="43.5" customHeight="1" x14ac:dyDescent="0.2">
      <c r="A5" s="107" t="s">
        <v>1</v>
      </c>
      <c r="B5" s="89"/>
      <c r="C5" s="89"/>
      <c r="D5" s="89"/>
      <c r="E5" s="89"/>
      <c r="F5" s="89"/>
      <c r="G5" s="89"/>
      <c r="H5" s="89"/>
      <c r="I5" s="89"/>
      <c r="J5" s="88"/>
    </row>
    <row r="6" spans="1:26" ht="15.75" customHeight="1" x14ac:dyDescent="0.2"/>
    <row r="7" spans="1:26" ht="75.75" customHeight="1" x14ac:dyDescent="0.2">
      <c r="A7" s="106" t="s">
        <v>2</v>
      </c>
      <c r="B7" s="130" t="s">
        <v>233</v>
      </c>
      <c r="C7" s="130" t="s">
        <v>232</v>
      </c>
      <c r="D7" s="130" t="s">
        <v>231</v>
      </c>
      <c r="E7" s="130" t="s">
        <v>230</v>
      </c>
      <c r="F7" s="132" t="s">
        <v>229</v>
      </c>
      <c r="G7" s="131" t="s">
        <v>291</v>
      </c>
      <c r="H7" s="130" t="s">
        <v>156</v>
      </c>
      <c r="I7" s="130" t="s">
        <v>227</v>
      </c>
      <c r="J7" s="130" t="s">
        <v>226</v>
      </c>
      <c r="K7" s="129" t="s">
        <v>290</v>
      </c>
      <c r="L7" s="45"/>
      <c r="M7" s="45"/>
      <c r="N7" s="45"/>
      <c r="O7" s="45"/>
      <c r="P7" s="45"/>
      <c r="Q7" s="45"/>
      <c r="R7" s="45"/>
      <c r="S7" s="45"/>
      <c r="T7" s="45"/>
      <c r="U7" s="45"/>
      <c r="V7" s="45"/>
      <c r="W7" s="45"/>
      <c r="X7" s="45"/>
      <c r="Y7" s="45"/>
      <c r="Z7" s="45"/>
    </row>
    <row r="8" spans="1:26" ht="112.5" customHeight="1" x14ac:dyDescent="0.2">
      <c r="A8" s="127" t="s">
        <v>3</v>
      </c>
      <c r="B8" s="94" t="s">
        <v>220</v>
      </c>
      <c r="C8" s="98" t="s">
        <v>225</v>
      </c>
      <c r="D8" s="102" t="s">
        <v>289</v>
      </c>
      <c r="E8" s="97">
        <v>35</v>
      </c>
      <c r="F8" s="96">
        <v>41.65</v>
      </c>
      <c r="G8" s="95" t="s">
        <v>288</v>
      </c>
      <c r="H8" s="126" t="s">
        <v>28</v>
      </c>
      <c r="I8" s="94" t="s">
        <v>20</v>
      </c>
      <c r="J8" s="125" t="s">
        <v>222</v>
      </c>
      <c r="K8" s="93" t="s">
        <v>287</v>
      </c>
    </row>
    <row r="9" spans="1:26" ht="104.25" customHeight="1" x14ac:dyDescent="0.2">
      <c r="A9" s="127" t="s">
        <v>4</v>
      </c>
      <c r="B9" s="101" t="s">
        <v>220</v>
      </c>
      <c r="C9" s="100" t="s">
        <v>219</v>
      </c>
      <c r="D9" s="94" t="s">
        <v>286</v>
      </c>
      <c r="E9" s="96">
        <v>55</v>
      </c>
      <c r="F9" s="96">
        <v>65.45</v>
      </c>
      <c r="G9" s="95" t="s">
        <v>285</v>
      </c>
      <c r="H9" s="126" t="s">
        <v>37</v>
      </c>
      <c r="I9" s="94" t="s">
        <v>216</v>
      </c>
      <c r="J9" s="128" t="s">
        <v>215</v>
      </c>
      <c r="K9" s="93" t="s">
        <v>284</v>
      </c>
    </row>
    <row r="10" spans="1:26" ht="90" customHeight="1" x14ac:dyDescent="0.2">
      <c r="A10" s="127" t="s">
        <v>5</v>
      </c>
      <c r="B10" s="94" t="s">
        <v>213</v>
      </c>
      <c r="C10" s="98" t="s">
        <v>212</v>
      </c>
      <c r="D10" s="94" t="s">
        <v>283</v>
      </c>
      <c r="E10" s="97">
        <v>48</v>
      </c>
      <c r="F10" s="96">
        <v>57.12</v>
      </c>
      <c r="G10" s="95" t="s">
        <v>282</v>
      </c>
      <c r="H10" s="126" t="s">
        <v>28</v>
      </c>
      <c r="I10" s="94" t="s">
        <v>20</v>
      </c>
      <c r="J10" s="125" t="s">
        <v>209</v>
      </c>
      <c r="K10" s="93" t="s">
        <v>281</v>
      </c>
    </row>
    <row r="11" spans="1:26" ht="39" hidden="1" customHeight="1" x14ac:dyDescent="0.2">
      <c r="A11" s="92"/>
      <c r="B11" s="91"/>
      <c r="C11" s="91"/>
      <c r="D11" s="91"/>
      <c r="E11" s="91"/>
      <c r="F11" s="91"/>
      <c r="G11" s="91"/>
      <c r="H11" s="91"/>
      <c r="I11" s="55" t="s">
        <v>280</v>
      </c>
      <c r="J11" s="91"/>
    </row>
    <row r="12" spans="1:26" ht="12.75" customHeight="1" x14ac:dyDescent="0.2"/>
    <row r="13" spans="1:26" ht="138.75" customHeight="1" x14ac:dyDescent="0.2">
      <c r="A13" s="90" t="s">
        <v>207</v>
      </c>
      <c r="B13" s="89"/>
      <c r="C13" s="89"/>
      <c r="D13" s="89"/>
      <c r="E13" s="89"/>
      <c r="F13" s="89"/>
      <c r="G13" s="89"/>
      <c r="H13" s="89"/>
      <c r="I13" s="89"/>
      <c r="J13" s="88"/>
    </row>
    <row r="14" spans="1:26" ht="12.75" customHeight="1" x14ac:dyDescent="0.2"/>
    <row r="15" spans="1:26" ht="75" customHeight="1" x14ac:dyDescent="0.2">
      <c r="A15" s="90" t="s">
        <v>206</v>
      </c>
      <c r="B15" s="89"/>
      <c r="C15" s="89"/>
      <c r="D15" s="89"/>
      <c r="E15" s="89"/>
      <c r="F15" s="89"/>
      <c r="G15" s="89"/>
      <c r="H15" s="89"/>
      <c r="I15" s="89"/>
      <c r="J15" s="88"/>
    </row>
    <row r="16" spans="1:26" ht="12.75" customHeight="1" x14ac:dyDescent="0.2"/>
    <row r="17" spans="4:7" ht="12.75" customHeight="1" x14ac:dyDescent="0.2"/>
    <row r="18" spans="4:7" ht="12.75" customHeight="1" x14ac:dyDescent="0.2"/>
    <row r="19" spans="4:7" ht="12.75" customHeight="1" x14ac:dyDescent="0.2"/>
    <row r="20" spans="4:7" ht="12.75" customHeight="1" x14ac:dyDescent="0.2"/>
    <row r="21" spans="4:7" ht="12.75" customHeight="1" x14ac:dyDescent="0.2"/>
    <row r="22" spans="4:7" ht="12.75" customHeight="1" x14ac:dyDescent="0.2"/>
    <row r="23" spans="4:7" ht="12.75" customHeight="1" x14ac:dyDescent="0.2"/>
    <row r="24" spans="4:7" ht="12.75" customHeight="1" x14ac:dyDescent="0.2"/>
    <row r="25" spans="4:7" ht="12.75" customHeight="1" x14ac:dyDescent="0.2"/>
    <row r="26" spans="4:7" ht="12.75" customHeight="1" x14ac:dyDescent="0.2">
      <c r="D26" s="56"/>
      <c r="E26" s="56"/>
      <c r="F26" s="55"/>
      <c r="G26" s="55"/>
    </row>
    <row r="27" spans="4:7" ht="12.75" customHeight="1" x14ac:dyDescent="0.2"/>
    <row r="28" spans="4:7" ht="12.75" customHeight="1" x14ac:dyDescent="0.2"/>
    <row r="29" spans="4:7" ht="12.75" customHeight="1" x14ac:dyDescent="0.2"/>
    <row r="30" spans="4:7" ht="12.75" customHeight="1" x14ac:dyDescent="0.2"/>
    <row r="31" spans="4:7" ht="12.75" customHeight="1" x14ac:dyDescent="0.2"/>
    <row r="32" spans="4:7"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4">
    <mergeCell ref="D2:H2"/>
    <mergeCell ref="A5:J5"/>
    <mergeCell ref="A13:J13"/>
    <mergeCell ref="A15:J15"/>
  </mergeCells>
  <hyperlinks>
    <hyperlink ref="K8" r:id="rId1" xr:uid="{00000000-0004-0000-0300-000000000000}"/>
    <hyperlink ref="K9" r:id="rId2" xr:uid="{00000000-0004-0000-0300-000001000000}"/>
    <hyperlink ref="K10" r:id="rId3" xr:uid="{00000000-0004-0000-0300-000002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4C425-7503-4421-AD78-761AAD928046}">
  <dimension ref="A1:Z1001"/>
  <sheetViews>
    <sheetView workbookViewId="0">
      <selection activeCell="B8" sqref="B8:K8"/>
    </sheetView>
  </sheetViews>
  <sheetFormatPr baseColWidth="10" defaultColWidth="12.5703125" defaultRowHeight="15" customHeight="1" x14ac:dyDescent="0.2"/>
  <cols>
    <col min="1" max="3" width="19.140625" style="133" customWidth="1"/>
    <col min="4" max="4" width="21.85546875" style="133" customWidth="1"/>
    <col min="5" max="6" width="17" style="133" customWidth="1"/>
    <col min="7" max="7" width="18" style="133" customWidth="1"/>
    <col min="8" max="8" width="17" style="133" customWidth="1"/>
    <col min="9" max="10" width="19.140625" style="133" customWidth="1"/>
    <col min="11" max="11" width="21.5703125" style="133" customWidth="1"/>
    <col min="12" max="26" width="10" style="133" customWidth="1"/>
    <col min="27" max="16384" width="12.5703125" style="133"/>
  </cols>
  <sheetData>
    <row r="1" spans="1:26" ht="12.75" customHeight="1" x14ac:dyDescent="0.2">
      <c r="A1" s="162"/>
      <c r="B1" s="162"/>
      <c r="C1" s="162"/>
      <c r="D1" s="162"/>
      <c r="E1" s="162"/>
      <c r="F1" s="162"/>
      <c r="G1" s="162"/>
      <c r="H1" s="162"/>
      <c r="I1" s="162"/>
      <c r="J1" s="162"/>
      <c r="K1" s="162"/>
    </row>
    <row r="2" spans="1:26" ht="27.75" customHeight="1" x14ac:dyDescent="0.25">
      <c r="A2" s="158"/>
      <c r="B2" s="158"/>
      <c r="C2" s="158"/>
      <c r="D2" s="145" t="s">
        <v>338</v>
      </c>
      <c r="E2" s="161"/>
      <c r="F2" s="161"/>
      <c r="G2" s="161"/>
      <c r="H2" s="161"/>
      <c r="I2" s="158"/>
      <c r="J2" s="158"/>
      <c r="K2" s="158"/>
      <c r="L2" s="135"/>
    </row>
    <row r="3" spans="1:26" ht="12.75" customHeight="1" x14ac:dyDescent="0.25">
      <c r="A3" s="158"/>
      <c r="B3" s="158"/>
      <c r="C3" s="158"/>
      <c r="D3" s="158"/>
      <c r="E3" s="158"/>
      <c r="F3" s="158"/>
      <c r="G3" s="158"/>
      <c r="H3" s="158"/>
      <c r="I3" s="158"/>
      <c r="J3" s="158"/>
      <c r="K3" s="158"/>
      <c r="L3" s="135"/>
    </row>
    <row r="4" spans="1:26" ht="12.75" customHeight="1" x14ac:dyDescent="0.25">
      <c r="A4" s="158"/>
      <c r="B4" s="158"/>
      <c r="C4" s="158"/>
      <c r="D4" s="158"/>
      <c r="E4" s="158"/>
      <c r="F4" s="158"/>
      <c r="G4" s="158"/>
      <c r="H4" s="158"/>
      <c r="I4" s="158"/>
      <c r="J4" s="158"/>
      <c r="K4" s="158"/>
      <c r="L4" s="135"/>
    </row>
    <row r="5" spans="1:26" ht="43.5" customHeight="1" x14ac:dyDescent="0.25">
      <c r="A5" s="143" t="s">
        <v>1</v>
      </c>
      <c r="B5" s="160"/>
      <c r="C5" s="160"/>
      <c r="D5" s="160"/>
      <c r="E5" s="160"/>
      <c r="F5" s="160"/>
      <c r="G5" s="160"/>
      <c r="H5" s="160"/>
      <c r="I5" s="160"/>
      <c r="J5" s="159"/>
      <c r="K5" s="158"/>
      <c r="L5" s="135"/>
    </row>
    <row r="6" spans="1:26" ht="15.75" customHeight="1" x14ac:dyDescent="0.25">
      <c r="A6" s="135"/>
      <c r="B6" s="135"/>
      <c r="C6" s="135"/>
      <c r="D6" s="135"/>
      <c r="E6" s="135"/>
      <c r="F6" s="135"/>
      <c r="G6" s="135"/>
      <c r="H6" s="135"/>
      <c r="I6" s="135"/>
      <c r="J6" s="135"/>
      <c r="K6" s="135"/>
      <c r="L6" s="135"/>
    </row>
    <row r="7" spans="1:26" ht="110.25" x14ac:dyDescent="0.2">
      <c r="A7" s="157" t="s">
        <v>2</v>
      </c>
      <c r="B7" s="154" t="s">
        <v>322</v>
      </c>
      <c r="C7" s="154" t="s">
        <v>321</v>
      </c>
      <c r="D7" s="154" t="s">
        <v>320</v>
      </c>
      <c r="E7" s="154" t="s">
        <v>319</v>
      </c>
      <c r="F7" s="156" t="s">
        <v>318</v>
      </c>
      <c r="G7" s="155" t="s">
        <v>317</v>
      </c>
      <c r="H7" s="154" t="s">
        <v>156</v>
      </c>
      <c r="I7" s="154" t="s">
        <v>316</v>
      </c>
      <c r="J7" s="154" t="s">
        <v>315</v>
      </c>
      <c r="K7" s="140" t="s">
        <v>314</v>
      </c>
      <c r="L7" s="84"/>
      <c r="M7" s="45"/>
      <c r="N7" s="45"/>
      <c r="O7" s="45"/>
      <c r="P7" s="45"/>
      <c r="Q7" s="45"/>
      <c r="R7" s="45"/>
      <c r="S7" s="45"/>
      <c r="T7" s="45"/>
      <c r="U7" s="45"/>
      <c r="V7" s="45"/>
      <c r="W7" s="45"/>
      <c r="X7" s="45"/>
      <c r="Y7" s="45"/>
      <c r="Z7" s="45"/>
    </row>
    <row r="8" spans="1:26" ht="94.5" x14ac:dyDescent="0.25">
      <c r="A8" s="153" t="s">
        <v>3</v>
      </c>
      <c r="B8" s="151" t="s">
        <v>313</v>
      </c>
      <c r="C8" s="151" t="s">
        <v>337</v>
      </c>
      <c r="D8" s="151" t="s">
        <v>336</v>
      </c>
      <c r="E8" s="151" t="s">
        <v>335</v>
      </c>
      <c r="F8" s="152">
        <v>450000</v>
      </c>
      <c r="G8" s="151" t="s">
        <v>297</v>
      </c>
      <c r="H8" s="151" t="s">
        <v>296</v>
      </c>
      <c r="I8" s="151" t="s">
        <v>20</v>
      </c>
      <c r="J8" s="151" t="s">
        <v>334</v>
      </c>
      <c r="K8" s="139" t="s">
        <v>333</v>
      </c>
      <c r="L8" s="135"/>
    </row>
    <row r="9" spans="1:26" ht="94.5" x14ac:dyDescent="0.25">
      <c r="A9" s="153" t="s">
        <v>306</v>
      </c>
      <c r="B9" s="151" t="s">
        <v>300</v>
      </c>
      <c r="C9" s="151" t="s">
        <v>332</v>
      </c>
      <c r="D9" s="151" t="s">
        <v>331</v>
      </c>
      <c r="E9" s="152">
        <v>480000</v>
      </c>
      <c r="F9" s="152">
        <v>520000</v>
      </c>
      <c r="G9" s="151" t="s">
        <v>297</v>
      </c>
      <c r="H9" s="151" t="s">
        <v>296</v>
      </c>
      <c r="I9" s="151" t="s">
        <v>20</v>
      </c>
      <c r="J9" s="151" t="s">
        <v>330</v>
      </c>
      <c r="K9" s="137" t="s">
        <v>329</v>
      </c>
      <c r="L9" s="135"/>
    </row>
    <row r="10" spans="1:26" ht="63" x14ac:dyDescent="0.25">
      <c r="A10" s="153" t="s">
        <v>5</v>
      </c>
      <c r="B10" s="151" t="s">
        <v>328</v>
      </c>
      <c r="C10" s="151" t="s">
        <v>327</v>
      </c>
      <c r="D10" s="151" t="s">
        <v>326</v>
      </c>
      <c r="E10" s="152">
        <v>550000</v>
      </c>
      <c r="F10" s="152">
        <v>590000</v>
      </c>
      <c r="G10" s="151" t="s">
        <v>297</v>
      </c>
      <c r="H10" s="151" t="s">
        <v>296</v>
      </c>
      <c r="I10" s="151" t="s">
        <v>20</v>
      </c>
      <c r="J10" s="151" t="s">
        <v>325</v>
      </c>
      <c r="K10" s="137" t="s">
        <v>324</v>
      </c>
      <c r="L10" s="135"/>
    </row>
    <row r="11" spans="1:26" ht="15" hidden="1" customHeight="1" x14ac:dyDescent="0.25">
      <c r="A11" s="150"/>
      <c r="B11" s="149"/>
      <c r="C11" s="149"/>
      <c r="D11" s="149"/>
      <c r="E11" s="149"/>
      <c r="F11" s="149"/>
      <c r="G11" s="149"/>
      <c r="H11" s="149"/>
      <c r="I11" s="149"/>
      <c r="J11" s="149"/>
      <c r="K11" s="135"/>
      <c r="L11" s="135"/>
    </row>
    <row r="12" spans="1:26" ht="12.75" customHeight="1" x14ac:dyDescent="0.25">
      <c r="A12" s="135"/>
      <c r="B12" s="135"/>
      <c r="C12" s="135"/>
      <c r="D12" s="135"/>
      <c r="E12" s="135"/>
      <c r="F12" s="135"/>
      <c r="G12" s="135"/>
      <c r="H12" s="135"/>
      <c r="I12" s="135"/>
      <c r="J12" s="135"/>
      <c r="K12" s="135"/>
      <c r="L12" s="135"/>
    </row>
    <row r="13" spans="1:26" ht="138.75" customHeight="1" x14ac:dyDescent="0.25">
      <c r="A13" s="136" t="s">
        <v>293</v>
      </c>
      <c r="B13" s="148"/>
      <c r="C13" s="148"/>
      <c r="D13" s="148"/>
      <c r="E13" s="148"/>
      <c r="F13" s="148"/>
      <c r="G13" s="148"/>
      <c r="H13" s="148"/>
      <c r="I13" s="148"/>
      <c r="J13" s="147"/>
      <c r="K13" s="135"/>
      <c r="L13" s="135"/>
    </row>
    <row r="14" spans="1:26" ht="12.75" customHeight="1" x14ac:dyDescent="0.25">
      <c r="A14" s="135"/>
      <c r="B14" s="135"/>
      <c r="C14" s="135"/>
      <c r="D14" s="135"/>
      <c r="E14" s="135"/>
      <c r="F14" s="135"/>
      <c r="G14" s="135"/>
      <c r="H14" s="135"/>
      <c r="I14" s="135"/>
      <c r="J14" s="135"/>
      <c r="K14" s="135"/>
      <c r="L14" s="135"/>
    </row>
    <row r="15" spans="1:26" ht="75" customHeight="1" x14ac:dyDescent="0.25">
      <c r="A15" s="136" t="s">
        <v>292</v>
      </c>
      <c r="B15" s="148"/>
      <c r="C15" s="148"/>
      <c r="D15" s="148"/>
      <c r="E15" s="148"/>
      <c r="F15" s="148"/>
      <c r="G15" s="148"/>
      <c r="H15" s="148"/>
      <c r="I15" s="148"/>
      <c r="J15" s="147"/>
      <c r="K15" s="135"/>
      <c r="L15" s="135"/>
    </row>
    <row r="16" spans="1:26" ht="12.75" customHeight="1" x14ac:dyDescent="0.25">
      <c r="A16" s="135"/>
      <c r="B16" s="135"/>
      <c r="C16" s="135"/>
      <c r="D16" s="135"/>
      <c r="E16" s="135"/>
      <c r="F16" s="135"/>
      <c r="G16" s="135"/>
      <c r="H16" s="135"/>
      <c r="I16" s="135"/>
      <c r="J16" s="135"/>
      <c r="K16" s="135"/>
      <c r="L16" s="135"/>
    </row>
    <row r="17" spans="1:12" ht="12.75" customHeight="1" x14ac:dyDescent="0.25">
      <c r="A17" s="146"/>
      <c r="B17" s="135"/>
      <c r="C17" s="135"/>
      <c r="D17" s="135"/>
      <c r="E17" s="135"/>
      <c r="F17" s="135"/>
      <c r="G17" s="135"/>
      <c r="H17" s="135"/>
      <c r="I17" s="135"/>
      <c r="J17" s="135"/>
      <c r="K17" s="135"/>
      <c r="L17" s="135"/>
    </row>
    <row r="18" spans="1:12" ht="12.75" customHeight="1" x14ac:dyDescent="0.25">
      <c r="A18" s="146"/>
      <c r="B18" s="135"/>
      <c r="C18" s="135"/>
      <c r="D18" s="135"/>
      <c r="E18" s="135"/>
      <c r="F18" s="135"/>
      <c r="G18" s="135"/>
      <c r="H18" s="135"/>
      <c r="I18" s="135"/>
      <c r="J18" s="135"/>
      <c r="K18" s="135"/>
      <c r="L18" s="135"/>
    </row>
    <row r="19" spans="1:12" ht="12.75" customHeight="1" x14ac:dyDescent="0.25">
      <c r="A19" s="146"/>
      <c r="B19" s="135"/>
      <c r="C19" s="135"/>
      <c r="D19" s="135"/>
      <c r="E19" s="135"/>
      <c r="F19" s="135"/>
      <c r="G19" s="135"/>
      <c r="H19" s="135"/>
      <c r="I19" s="135"/>
      <c r="J19" s="135"/>
      <c r="K19" s="135"/>
      <c r="L19" s="135"/>
    </row>
    <row r="20" spans="1:12" ht="12.75" customHeight="1" x14ac:dyDescent="0.2"/>
    <row r="21" spans="1:12" ht="12.75" customHeight="1" x14ac:dyDescent="0.2"/>
    <row r="22" spans="1:12" ht="12.75" customHeight="1" x14ac:dyDescent="0.2"/>
    <row r="23" spans="1:12" ht="12.75" customHeight="1" x14ac:dyDescent="0.2"/>
    <row r="24" spans="1:12" ht="12.75" customHeight="1" x14ac:dyDescent="0.2"/>
    <row r="25" spans="1:12" ht="12.75" customHeight="1" x14ac:dyDescent="0.2"/>
    <row r="26" spans="1:12" ht="12.75" customHeight="1" x14ac:dyDescent="0.2"/>
    <row r="27" spans="1:12" ht="12.75" customHeight="1" x14ac:dyDescent="0.2">
      <c r="D27" s="56"/>
      <c r="E27" s="56"/>
      <c r="F27" s="55"/>
      <c r="G27" s="55"/>
    </row>
    <row r="28" spans="1:12" ht="12.75" customHeight="1" x14ac:dyDescent="0.2"/>
    <row r="29" spans="1:12" ht="12.75" customHeight="1" x14ac:dyDescent="0.2"/>
    <row r="30" spans="1:12" ht="12.75" customHeight="1" x14ac:dyDescent="0.2"/>
    <row r="31" spans="1:12" ht="12.75" customHeight="1" x14ac:dyDescent="0.2"/>
    <row r="32" spans="1:1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sheetData>
  <mergeCells count="4">
    <mergeCell ref="A5:J5"/>
    <mergeCell ref="A13:J13"/>
    <mergeCell ref="A15:J15"/>
    <mergeCell ref="D2:H2"/>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CFD59-27AC-46A3-AACA-6097C54FD682}">
  <dimension ref="A1:Z1001"/>
  <sheetViews>
    <sheetView topLeftCell="A4" workbookViewId="0">
      <selection activeCell="B8" sqref="B8:K8"/>
    </sheetView>
  </sheetViews>
  <sheetFormatPr baseColWidth="10" defaultColWidth="12.5703125" defaultRowHeight="15" customHeight="1" x14ac:dyDescent="0.2"/>
  <cols>
    <col min="1" max="3" width="19.140625" style="133" customWidth="1"/>
    <col min="4" max="4" width="21.85546875" style="133" customWidth="1"/>
    <col min="5" max="6" width="17" style="133" customWidth="1"/>
    <col min="7" max="7" width="18" style="133" customWidth="1"/>
    <col min="8" max="8" width="17" style="133" customWidth="1"/>
    <col min="9" max="10" width="19.140625" style="133" customWidth="1"/>
    <col min="11" max="11" width="19.7109375" style="133" customWidth="1"/>
    <col min="12" max="26" width="10" style="133" customWidth="1"/>
    <col min="27" max="16384" width="12.5703125" style="133"/>
  </cols>
  <sheetData>
    <row r="1" spans="1:26" ht="12.75" customHeight="1" x14ac:dyDescent="0.25">
      <c r="A1" s="167"/>
      <c r="B1" s="135"/>
      <c r="C1" s="135"/>
      <c r="D1" s="135"/>
      <c r="E1" s="135"/>
      <c r="F1" s="135"/>
      <c r="G1" s="135"/>
      <c r="H1" s="135"/>
      <c r="I1" s="135"/>
      <c r="J1" s="135"/>
      <c r="K1" s="135"/>
    </row>
    <row r="2" spans="1:26" ht="27.75" customHeight="1" x14ac:dyDescent="0.25">
      <c r="A2" s="135"/>
      <c r="B2" s="135"/>
      <c r="C2" s="135"/>
      <c r="D2" s="145" t="s">
        <v>354</v>
      </c>
      <c r="E2" s="161"/>
      <c r="F2" s="161"/>
      <c r="G2" s="161"/>
      <c r="H2" s="161"/>
      <c r="I2" s="135"/>
      <c r="J2" s="135"/>
      <c r="K2" s="135"/>
      <c r="L2" s="135"/>
    </row>
    <row r="3" spans="1:26" ht="12.75" customHeight="1" x14ac:dyDescent="0.25">
      <c r="A3" s="135"/>
      <c r="B3" s="135"/>
      <c r="C3" s="135"/>
      <c r="D3" s="135"/>
      <c r="E3" s="135"/>
      <c r="F3" s="135"/>
      <c r="G3" s="135"/>
      <c r="H3" s="135"/>
      <c r="I3" s="135"/>
      <c r="J3" s="135"/>
      <c r="K3" s="135"/>
      <c r="L3" s="135"/>
    </row>
    <row r="4" spans="1:26" ht="12.75" customHeight="1" x14ac:dyDescent="0.25">
      <c r="A4" s="135"/>
      <c r="B4" s="135"/>
      <c r="C4" s="135"/>
      <c r="D4" s="135"/>
      <c r="E4" s="135"/>
      <c r="F4" s="135"/>
      <c r="G4" s="135"/>
      <c r="H4" s="135"/>
      <c r="I4" s="135"/>
      <c r="J4" s="135"/>
      <c r="K4" s="135"/>
      <c r="L4" s="135"/>
    </row>
    <row r="5" spans="1:26" ht="43.5" customHeight="1" x14ac:dyDescent="0.25">
      <c r="A5" s="143" t="s">
        <v>1</v>
      </c>
      <c r="B5" s="160"/>
      <c r="C5" s="160"/>
      <c r="D5" s="160"/>
      <c r="E5" s="160"/>
      <c r="F5" s="160"/>
      <c r="G5" s="160"/>
      <c r="H5" s="160"/>
      <c r="I5" s="160"/>
      <c r="J5" s="159"/>
      <c r="K5" s="135"/>
      <c r="L5" s="135"/>
    </row>
    <row r="6" spans="1:26" ht="15.75" customHeight="1" x14ac:dyDescent="0.25">
      <c r="A6" s="135"/>
      <c r="B6" s="135"/>
      <c r="C6" s="135"/>
      <c r="D6" s="135"/>
      <c r="E6" s="135"/>
      <c r="F6" s="135"/>
      <c r="G6" s="135"/>
      <c r="H6" s="135"/>
      <c r="I6" s="135"/>
      <c r="J6" s="135"/>
      <c r="K6" s="135"/>
      <c r="L6" s="135"/>
    </row>
    <row r="7" spans="1:26" ht="75.75" customHeight="1" x14ac:dyDescent="0.2">
      <c r="A7" s="157" t="s">
        <v>2</v>
      </c>
      <c r="B7" s="154" t="s">
        <v>186</v>
      </c>
      <c r="C7" s="154" t="s">
        <v>185</v>
      </c>
      <c r="D7" s="154" t="s">
        <v>184</v>
      </c>
      <c r="E7" s="154" t="s">
        <v>183</v>
      </c>
      <c r="F7" s="156" t="s">
        <v>182</v>
      </c>
      <c r="G7" s="155" t="s">
        <v>181</v>
      </c>
      <c r="H7" s="154" t="s">
        <v>156</v>
      </c>
      <c r="I7" s="154" t="s">
        <v>180</v>
      </c>
      <c r="J7" s="154" t="s">
        <v>179</v>
      </c>
      <c r="K7" s="166" t="s">
        <v>314</v>
      </c>
      <c r="L7" s="84"/>
      <c r="M7" s="45"/>
      <c r="N7" s="45"/>
      <c r="O7" s="45"/>
      <c r="P7" s="45"/>
      <c r="Q7" s="45"/>
      <c r="R7" s="45"/>
      <c r="S7" s="45"/>
      <c r="T7" s="45"/>
      <c r="U7" s="45"/>
      <c r="V7" s="45"/>
      <c r="W7" s="45"/>
      <c r="X7" s="45"/>
      <c r="Y7" s="45"/>
      <c r="Z7" s="45"/>
    </row>
    <row r="8" spans="1:26" ht="63" x14ac:dyDescent="0.25">
      <c r="A8" s="153" t="s">
        <v>3</v>
      </c>
      <c r="B8" s="151" t="s">
        <v>353</v>
      </c>
      <c r="C8" s="151" t="s">
        <v>352</v>
      </c>
      <c r="D8" s="151" t="s">
        <v>351</v>
      </c>
      <c r="E8" s="151" t="s">
        <v>350</v>
      </c>
      <c r="F8" s="152">
        <v>240000</v>
      </c>
      <c r="G8" s="151" t="s">
        <v>297</v>
      </c>
      <c r="H8" s="151" t="s">
        <v>296</v>
      </c>
      <c r="I8" s="151" t="s">
        <v>20</v>
      </c>
      <c r="J8" s="151" t="s">
        <v>349</v>
      </c>
      <c r="K8" s="139" t="s">
        <v>348</v>
      </c>
      <c r="L8" s="135"/>
    </row>
    <row r="9" spans="1:26" ht="78.75" x14ac:dyDescent="0.25">
      <c r="A9" s="153" t="s">
        <v>306</v>
      </c>
      <c r="B9" s="151" t="s">
        <v>347</v>
      </c>
      <c r="C9" s="151" t="s">
        <v>343</v>
      </c>
      <c r="D9" s="151" t="s">
        <v>346</v>
      </c>
      <c r="E9" s="152">
        <v>250000</v>
      </c>
      <c r="F9" s="152">
        <v>260000</v>
      </c>
      <c r="G9" s="151" t="s">
        <v>297</v>
      </c>
      <c r="H9" s="151" t="s">
        <v>296</v>
      </c>
      <c r="I9" s="151" t="s">
        <v>20</v>
      </c>
      <c r="J9" s="151" t="s">
        <v>345</v>
      </c>
      <c r="K9" s="137" t="s">
        <v>339</v>
      </c>
      <c r="L9" s="135"/>
    </row>
    <row r="10" spans="1:26" ht="78.75" x14ac:dyDescent="0.25">
      <c r="A10" s="153" t="s">
        <v>5</v>
      </c>
      <c r="B10" s="151" t="s">
        <v>344</v>
      </c>
      <c r="C10" s="151" t="s">
        <v>343</v>
      </c>
      <c r="D10" s="151" t="s">
        <v>342</v>
      </c>
      <c r="E10" s="151" t="s">
        <v>341</v>
      </c>
      <c r="F10" s="152">
        <v>180000</v>
      </c>
      <c r="G10" s="151" t="s">
        <v>297</v>
      </c>
      <c r="H10" s="151" t="s">
        <v>296</v>
      </c>
      <c r="I10" s="151" t="s">
        <v>20</v>
      </c>
      <c r="J10" s="151" t="s">
        <v>340</v>
      </c>
      <c r="K10" s="137" t="s">
        <v>339</v>
      </c>
      <c r="L10" s="135"/>
    </row>
    <row r="11" spans="1:26" ht="15" hidden="1" customHeight="1" x14ac:dyDescent="0.25">
      <c r="A11" s="150"/>
      <c r="B11" s="149"/>
      <c r="C11" s="149"/>
      <c r="D11" s="149"/>
      <c r="E11" s="149"/>
      <c r="F11" s="149"/>
      <c r="G11" s="149"/>
      <c r="H11" s="149"/>
      <c r="I11" s="149"/>
      <c r="J11" s="149"/>
      <c r="K11" s="135"/>
      <c r="L11" s="135"/>
    </row>
    <row r="12" spans="1:26" ht="12.75" customHeight="1" x14ac:dyDescent="0.25">
      <c r="A12" s="135"/>
      <c r="B12" s="135"/>
      <c r="C12" s="135"/>
      <c r="D12" s="135"/>
      <c r="E12" s="135"/>
      <c r="F12" s="135"/>
      <c r="G12" s="135"/>
      <c r="H12" s="135"/>
      <c r="I12" s="135"/>
      <c r="J12" s="135"/>
      <c r="K12" s="135"/>
      <c r="L12" s="135"/>
    </row>
    <row r="13" spans="1:26" ht="138.75" customHeight="1" x14ac:dyDescent="0.25">
      <c r="A13" s="136" t="s">
        <v>293</v>
      </c>
      <c r="B13" s="148"/>
      <c r="C13" s="148"/>
      <c r="D13" s="148"/>
      <c r="E13" s="148"/>
      <c r="F13" s="148"/>
      <c r="G13" s="148"/>
      <c r="H13" s="148"/>
      <c r="I13" s="148"/>
      <c r="J13" s="147"/>
      <c r="K13" s="135"/>
      <c r="L13" s="135"/>
    </row>
    <row r="14" spans="1:26" ht="12.75" customHeight="1" x14ac:dyDescent="0.25">
      <c r="A14" s="135"/>
      <c r="B14" s="135"/>
      <c r="C14" s="135"/>
      <c r="D14" s="135"/>
      <c r="E14" s="135"/>
      <c r="F14" s="135"/>
      <c r="G14" s="135"/>
      <c r="H14" s="135"/>
      <c r="I14" s="135"/>
      <c r="J14" s="135"/>
      <c r="K14" s="135"/>
      <c r="L14" s="135"/>
    </row>
    <row r="15" spans="1:26" ht="75" customHeight="1" x14ac:dyDescent="0.25">
      <c r="A15" s="136" t="s">
        <v>292</v>
      </c>
      <c r="B15" s="148"/>
      <c r="C15" s="148"/>
      <c r="D15" s="148"/>
      <c r="E15" s="148"/>
      <c r="F15" s="148"/>
      <c r="G15" s="148"/>
      <c r="H15" s="148"/>
      <c r="I15" s="148"/>
      <c r="J15" s="147"/>
      <c r="K15" s="135"/>
      <c r="L15" s="135"/>
    </row>
    <row r="16" spans="1:26" ht="12.75" customHeight="1" x14ac:dyDescent="0.25">
      <c r="A16" s="135"/>
      <c r="B16" s="135"/>
      <c r="C16" s="135"/>
      <c r="D16" s="135"/>
      <c r="E16" s="135"/>
      <c r="F16" s="135"/>
      <c r="G16" s="135"/>
      <c r="H16" s="135"/>
      <c r="I16" s="135"/>
      <c r="J16" s="135"/>
      <c r="K16" s="135"/>
      <c r="L16" s="135"/>
    </row>
    <row r="17" spans="1:11" ht="12.75" customHeight="1" x14ac:dyDescent="0.25">
      <c r="A17" s="135"/>
      <c r="B17" s="135"/>
      <c r="C17" s="135"/>
      <c r="D17" s="135"/>
      <c r="E17" s="135"/>
      <c r="F17" s="135"/>
      <c r="G17" s="135"/>
      <c r="H17" s="135"/>
      <c r="I17" s="135"/>
      <c r="J17" s="135"/>
      <c r="K17" s="135"/>
    </row>
    <row r="18" spans="1:11" ht="12.75" customHeight="1" x14ac:dyDescent="0.25">
      <c r="A18" s="135"/>
      <c r="B18" s="135"/>
      <c r="C18" s="135"/>
      <c r="D18" s="135"/>
      <c r="E18" s="135"/>
      <c r="F18" s="135"/>
      <c r="G18" s="135"/>
      <c r="H18" s="135"/>
      <c r="I18" s="135"/>
      <c r="J18" s="135"/>
      <c r="K18" s="135"/>
    </row>
    <row r="19" spans="1:11" ht="12.75" customHeight="1" x14ac:dyDescent="0.2">
      <c r="A19" s="162"/>
    </row>
    <row r="20" spans="1:11" ht="12.75" customHeight="1" x14ac:dyDescent="0.2">
      <c r="A20" s="165"/>
    </row>
    <row r="21" spans="1:11" ht="12.75" customHeight="1" x14ac:dyDescent="0.2">
      <c r="A21" s="164"/>
    </row>
    <row r="22" spans="1:11" ht="12.75" customHeight="1" x14ac:dyDescent="0.2"/>
    <row r="23" spans="1:11" ht="12.75" customHeight="1" x14ac:dyDescent="0.2">
      <c r="A23" s="162"/>
    </row>
    <row r="24" spans="1:11" ht="12.75" customHeight="1" x14ac:dyDescent="0.2">
      <c r="A24" s="165"/>
    </row>
    <row r="25" spans="1:11" ht="12.75" customHeight="1" x14ac:dyDescent="0.2">
      <c r="A25" s="164"/>
    </row>
    <row r="26" spans="1:11" ht="12.75" customHeight="1" x14ac:dyDescent="0.2">
      <c r="D26" s="56"/>
      <c r="E26" s="56"/>
      <c r="F26" s="55"/>
      <c r="G26" s="55"/>
    </row>
    <row r="27" spans="1:11" ht="12.75" customHeight="1" x14ac:dyDescent="0.2">
      <c r="A27" s="163"/>
    </row>
    <row r="28" spans="1:11" ht="12.75" customHeight="1" x14ac:dyDescent="0.2">
      <c r="A28" s="163"/>
    </row>
    <row r="29" spans="1:11" ht="12.75" customHeight="1" x14ac:dyDescent="0.2">
      <c r="A29" s="163"/>
    </row>
    <row r="30" spans="1:11" ht="12.75" customHeight="1" x14ac:dyDescent="0.2"/>
    <row r="31" spans="1:11" ht="12.75" customHeight="1" x14ac:dyDescent="0.2"/>
    <row r="32" spans="1:11"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sheetData>
  <mergeCells count="4">
    <mergeCell ref="D2:H2"/>
    <mergeCell ref="A5:J5"/>
    <mergeCell ref="A13:J13"/>
    <mergeCell ref="A15:J15"/>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F860D-8AD3-4515-8838-14B84425414C}">
  <dimension ref="A1:Z1001"/>
  <sheetViews>
    <sheetView workbookViewId="0">
      <selection activeCell="B9" sqref="B9:K9"/>
    </sheetView>
  </sheetViews>
  <sheetFormatPr baseColWidth="10" defaultColWidth="12.5703125" defaultRowHeight="15" customHeight="1" x14ac:dyDescent="0.2"/>
  <cols>
    <col min="1" max="3" width="19.140625" style="133" customWidth="1"/>
    <col min="4" max="4" width="21.85546875" style="133" customWidth="1"/>
    <col min="5" max="5" width="17" style="133" customWidth="1"/>
    <col min="6" max="6" width="21.85546875" style="133" customWidth="1"/>
    <col min="7" max="7" width="18" style="133" customWidth="1"/>
    <col min="8" max="8" width="17" style="133" customWidth="1"/>
    <col min="9" max="10" width="19.140625" style="133" customWidth="1"/>
    <col min="11" max="11" width="18.7109375" style="133" customWidth="1"/>
    <col min="12" max="26" width="10" style="133" customWidth="1"/>
    <col min="27" max="16384" width="12.5703125" style="133"/>
  </cols>
  <sheetData>
    <row r="1" spans="1:26" ht="12.75" customHeight="1" x14ac:dyDescent="0.2"/>
    <row r="2" spans="1:26" ht="27.75" customHeight="1" x14ac:dyDescent="0.25">
      <c r="A2" s="135"/>
      <c r="B2" s="135"/>
      <c r="C2" s="135"/>
      <c r="D2" s="145" t="s">
        <v>375</v>
      </c>
      <c r="E2" s="170"/>
      <c r="F2" s="170"/>
      <c r="G2" s="170"/>
      <c r="H2" s="170"/>
      <c r="I2" s="135"/>
      <c r="J2" s="135"/>
      <c r="K2" s="135"/>
      <c r="L2" s="135"/>
    </row>
    <row r="3" spans="1:26" ht="12.75" customHeight="1" x14ac:dyDescent="0.25">
      <c r="A3" s="135"/>
      <c r="B3" s="135"/>
      <c r="C3" s="135"/>
      <c r="D3" s="135"/>
      <c r="E3" s="135"/>
      <c r="F3" s="135"/>
      <c r="G3" s="135"/>
      <c r="H3" s="135"/>
      <c r="I3" s="135"/>
      <c r="J3" s="135"/>
      <c r="K3" s="135"/>
      <c r="L3" s="135"/>
    </row>
    <row r="4" spans="1:26" ht="12.75" customHeight="1" x14ac:dyDescent="0.25">
      <c r="A4" s="135"/>
      <c r="B4" s="135"/>
      <c r="C4" s="135"/>
      <c r="D4" s="135"/>
      <c r="E4" s="135"/>
      <c r="F4" s="135"/>
      <c r="G4" s="135"/>
      <c r="H4" s="135"/>
      <c r="I4" s="135"/>
      <c r="J4" s="135"/>
      <c r="K4" s="135"/>
      <c r="L4" s="135"/>
    </row>
    <row r="5" spans="1:26" ht="43.5" customHeight="1" x14ac:dyDescent="0.25">
      <c r="A5" s="143" t="s">
        <v>1</v>
      </c>
      <c r="B5" s="148"/>
      <c r="C5" s="148"/>
      <c r="D5" s="148"/>
      <c r="E5" s="148"/>
      <c r="F5" s="148"/>
      <c r="G5" s="148"/>
      <c r="H5" s="148"/>
      <c r="I5" s="148"/>
      <c r="J5" s="147"/>
      <c r="K5" s="135"/>
      <c r="L5" s="135"/>
    </row>
    <row r="6" spans="1:26" ht="15.75" customHeight="1" x14ac:dyDescent="0.25">
      <c r="A6" s="135"/>
      <c r="B6" s="135"/>
      <c r="C6" s="135"/>
      <c r="D6" s="135"/>
      <c r="E6" s="135"/>
      <c r="F6" s="135"/>
      <c r="G6" s="135"/>
      <c r="H6" s="135"/>
      <c r="I6" s="135"/>
      <c r="J6" s="135"/>
      <c r="K6" s="135"/>
      <c r="L6" s="135"/>
    </row>
    <row r="7" spans="1:26" ht="75.75" customHeight="1" x14ac:dyDescent="0.2">
      <c r="A7" s="74" t="s">
        <v>2</v>
      </c>
      <c r="B7" s="67" t="s">
        <v>162</v>
      </c>
      <c r="C7" s="67" t="s">
        <v>205</v>
      </c>
      <c r="D7" s="67" t="s">
        <v>160</v>
      </c>
      <c r="E7" s="67" t="s">
        <v>159</v>
      </c>
      <c r="F7" s="73" t="s">
        <v>158</v>
      </c>
      <c r="G7" s="72" t="s">
        <v>157</v>
      </c>
      <c r="H7" s="67" t="s">
        <v>156</v>
      </c>
      <c r="I7" s="67" t="s">
        <v>155</v>
      </c>
      <c r="J7" s="67" t="s">
        <v>154</v>
      </c>
      <c r="K7" s="169" t="s">
        <v>314</v>
      </c>
      <c r="L7" s="84"/>
      <c r="M7" s="45"/>
      <c r="N7" s="45"/>
      <c r="O7" s="45"/>
      <c r="P7" s="45"/>
      <c r="Q7" s="45"/>
      <c r="R7" s="45"/>
      <c r="S7" s="45"/>
      <c r="T7" s="45"/>
      <c r="U7" s="45"/>
      <c r="V7" s="45"/>
      <c r="W7" s="45"/>
      <c r="X7" s="45"/>
      <c r="Y7" s="45"/>
      <c r="Z7" s="45"/>
    </row>
    <row r="8" spans="1:26" ht="90.75" customHeight="1" x14ac:dyDescent="0.25">
      <c r="A8" s="138" t="s">
        <v>3</v>
      </c>
      <c r="B8" s="41" t="s">
        <v>374</v>
      </c>
      <c r="C8" s="41" t="s">
        <v>373</v>
      </c>
      <c r="D8" s="41" t="s">
        <v>372</v>
      </c>
      <c r="E8" s="41" t="s">
        <v>371</v>
      </c>
      <c r="F8" s="138" t="s">
        <v>370</v>
      </c>
      <c r="G8" s="41" t="s">
        <v>297</v>
      </c>
      <c r="H8" s="41" t="s">
        <v>296</v>
      </c>
      <c r="I8" s="41" t="s">
        <v>369</v>
      </c>
      <c r="J8" s="41" t="s">
        <v>368</v>
      </c>
      <c r="K8" s="41" t="s">
        <v>367</v>
      </c>
      <c r="L8" s="135"/>
    </row>
    <row r="9" spans="1:26" ht="63" x14ac:dyDescent="0.25">
      <c r="A9" s="138" t="s">
        <v>306</v>
      </c>
      <c r="B9" s="41" t="s">
        <v>366</v>
      </c>
      <c r="C9" s="41" t="s">
        <v>365</v>
      </c>
      <c r="D9" s="41" t="s">
        <v>364</v>
      </c>
      <c r="E9" s="41" t="s">
        <v>363</v>
      </c>
      <c r="F9" s="138" t="s">
        <v>362</v>
      </c>
      <c r="G9" s="41" t="s">
        <v>297</v>
      </c>
      <c r="H9" s="41" t="s">
        <v>296</v>
      </c>
      <c r="I9" s="41" t="s">
        <v>20</v>
      </c>
      <c r="J9" s="41" t="s">
        <v>361</v>
      </c>
      <c r="K9" s="41" t="s">
        <v>360</v>
      </c>
      <c r="L9" s="135"/>
    </row>
    <row r="10" spans="1:26" ht="47.25" x14ac:dyDescent="0.25">
      <c r="A10" s="138" t="s">
        <v>5</v>
      </c>
      <c r="B10" s="41" t="s">
        <v>359</v>
      </c>
      <c r="C10" s="41" t="s">
        <v>343</v>
      </c>
      <c r="D10" s="41" t="s">
        <v>358</v>
      </c>
      <c r="E10" s="41" t="s">
        <v>357</v>
      </c>
      <c r="F10" s="168">
        <v>250000</v>
      </c>
      <c r="G10" s="41" t="s">
        <v>297</v>
      </c>
      <c r="H10" s="41" t="s">
        <v>296</v>
      </c>
      <c r="I10" s="41" t="s">
        <v>20</v>
      </c>
      <c r="J10" s="41" t="s">
        <v>356</v>
      </c>
      <c r="K10" s="41" t="s">
        <v>355</v>
      </c>
      <c r="L10" s="135"/>
    </row>
    <row r="11" spans="1:26" ht="15" hidden="1" customHeight="1" x14ac:dyDescent="0.25">
      <c r="A11" s="150"/>
      <c r="B11" s="149"/>
      <c r="C11" s="149"/>
      <c r="D11" s="149"/>
      <c r="E11" s="149"/>
      <c r="F11" s="149"/>
      <c r="G11" s="149"/>
      <c r="H11" s="149"/>
      <c r="I11" s="149"/>
      <c r="J11" s="149"/>
      <c r="K11" s="135"/>
      <c r="L11" s="135"/>
    </row>
    <row r="12" spans="1:26" ht="12.75" customHeight="1" x14ac:dyDescent="0.25">
      <c r="A12" s="135"/>
      <c r="B12" s="135"/>
      <c r="C12" s="135"/>
      <c r="D12" s="135"/>
      <c r="E12" s="135"/>
      <c r="F12" s="135"/>
      <c r="G12" s="135"/>
      <c r="H12" s="135"/>
      <c r="I12" s="135"/>
      <c r="J12" s="135"/>
      <c r="K12" s="135"/>
      <c r="L12" s="135"/>
    </row>
    <row r="13" spans="1:26" ht="138.75" customHeight="1" x14ac:dyDescent="0.25">
      <c r="A13" s="38" t="s">
        <v>7</v>
      </c>
      <c r="B13" s="148"/>
      <c r="C13" s="148"/>
      <c r="D13" s="148"/>
      <c r="E13" s="148"/>
      <c r="F13" s="148"/>
      <c r="G13" s="148"/>
      <c r="H13" s="148"/>
      <c r="I13" s="148"/>
      <c r="J13" s="147"/>
      <c r="K13" s="135"/>
      <c r="L13" s="135"/>
    </row>
    <row r="14" spans="1:26" ht="12.75" customHeight="1" x14ac:dyDescent="0.25">
      <c r="A14" s="135"/>
      <c r="B14" s="135"/>
      <c r="C14" s="135"/>
      <c r="D14" s="135"/>
      <c r="E14" s="135"/>
      <c r="F14" s="135"/>
      <c r="G14" s="135"/>
      <c r="H14" s="135"/>
      <c r="I14" s="135"/>
      <c r="J14" s="135"/>
      <c r="K14" s="135"/>
      <c r="L14" s="135"/>
    </row>
    <row r="15" spans="1:26" ht="75" customHeight="1" x14ac:dyDescent="0.25">
      <c r="A15" s="38" t="s">
        <v>8</v>
      </c>
      <c r="B15" s="148"/>
      <c r="C15" s="148"/>
      <c r="D15" s="148"/>
      <c r="E15" s="148"/>
      <c r="F15" s="148"/>
      <c r="G15" s="148"/>
      <c r="H15" s="148"/>
      <c r="I15" s="148"/>
      <c r="J15" s="147"/>
      <c r="K15" s="135"/>
      <c r="L15" s="135"/>
    </row>
    <row r="16" spans="1:26" ht="12.75" customHeight="1" x14ac:dyDescent="0.25">
      <c r="A16" s="135"/>
      <c r="B16" s="135"/>
      <c r="C16" s="135"/>
      <c r="D16" s="135"/>
      <c r="E16" s="135"/>
      <c r="F16" s="135"/>
      <c r="G16" s="135"/>
      <c r="H16" s="135"/>
      <c r="I16" s="135"/>
      <c r="J16" s="135"/>
      <c r="K16" s="135"/>
      <c r="L16" s="135"/>
    </row>
    <row r="17" spans="1:7" ht="12.75" customHeight="1" x14ac:dyDescent="0.2">
      <c r="A17" s="163"/>
    </row>
    <row r="18" spans="1:7" ht="12.75" customHeight="1" x14ac:dyDescent="0.2">
      <c r="A18" s="163"/>
    </row>
    <row r="19" spans="1:7" ht="12.75" customHeight="1" x14ac:dyDescent="0.2">
      <c r="A19" s="163"/>
    </row>
    <row r="20" spans="1:7" ht="12.75" customHeight="1" x14ac:dyDescent="0.2">
      <c r="A20" s="164"/>
    </row>
    <row r="21" spans="1:7" ht="12.75" customHeight="1" x14ac:dyDescent="0.2"/>
    <row r="22" spans="1:7" ht="12.75" customHeight="1" x14ac:dyDescent="0.2">
      <c r="A22" s="162"/>
    </row>
    <row r="23" spans="1:7" ht="12.75" customHeight="1" x14ac:dyDescent="0.2">
      <c r="A23" s="165"/>
    </row>
    <row r="24" spans="1:7" ht="12.75" customHeight="1" x14ac:dyDescent="0.2">
      <c r="A24" s="164"/>
    </row>
    <row r="25" spans="1:7" ht="12.75" customHeight="1" x14ac:dyDescent="0.2"/>
    <row r="26" spans="1:7" ht="12.75" customHeight="1" x14ac:dyDescent="0.2">
      <c r="A26" s="162"/>
    </row>
    <row r="27" spans="1:7" ht="12.75" customHeight="1" x14ac:dyDescent="0.2">
      <c r="A27" s="165"/>
      <c r="D27" s="56"/>
      <c r="E27" s="56"/>
      <c r="F27" s="55"/>
      <c r="G27" s="55"/>
    </row>
    <row r="28" spans="1:7" ht="12.75" customHeight="1" x14ac:dyDescent="0.2">
      <c r="A28" s="164"/>
    </row>
    <row r="29" spans="1:7" ht="12.75" customHeight="1" x14ac:dyDescent="0.2"/>
    <row r="30" spans="1:7" ht="12.75" customHeight="1" x14ac:dyDescent="0.2"/>
    <row r="31" spans="1:7" ht="12.75" customHeight="1" x14ac:dyDescent="0.2"/>
    <row r="32" spans="1:7"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sheetData>
  <mergeCells count="4">
    <mergeCell ref="D2:H2"/>
    <mergeCell ref="A5:J5"/>
    <mergeCell ref="A13:J13"/>
    <mergeCell ref="A15:J15"/>
  </mergeCells>
  <pageMargins left="0.7" right="0.7" top="0.75" bottom="0.75" header="0" footer="0"/>
  <pageSetup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0A18-8D34-4647-B5B9-AE45DBD75972}">
  <dimension ref="A1:Z1000"/>
  <sheetViews>
    <sheetView zoomScale="85" zoomScaleNormal="85" workbookViewId="0">
      <selection activeCell="B8" sqref="B8:K8"/>
    </sheetView>
  </sheetViews>
  <sheetFormatPr baseColWidth="10" defaultColWidth="12.5703125" defaultRowHeight="15" customHeight="1" x14ac:dyDescent="0.2"/>
  <cols>
    <col min="1" max="2" width="19.140625" style="133" customWidth="1"/>
    <col min="3" max="4" width="21.85546875" style="133" customWidth="1"/>
    <col min="5" max="6" width="17" style="133" customWidth="1"/>
    <col min="7" max="7" width="18" style="133" customWidth="1"/>
    <col min="8" max="8" width="17" style="133" customWidth="1"/>
    <col min="9" max="10" width="19.140625" style="133" customWidth="1"/>
    <col min="11" max="11" width="30.7109375" style="133" customWidth="1"/>
    <col min="12" max="12" width="40" style="133" customWidth="1"/>
    <col min="13" max="26" width="10" style="133" customWidth="1"/>
    <col min="27" max="16384" width="12.5703125" style="133"/>
  </cols>
  <sheetData>
    <row r="1" spans="1:26" ht="12.75" customHeight="1" x14ac:dyDescent="0.25">
      <c r="A1" s="135"/>
      <c r="B1" s="135"/>
      <c r="C1" s="135"/>
      <c r="D1" s="135"/>
      <c r="E1" s="135"/>
      <c r="F1" s="135"/>
      <c r="G1" s="135"/>
      <c r="H1" s="135"/>
      <c r="I1" s="135"/>
      <c r="J1" s="135"/>
      <c r="K1" s="135"/>
    </row>
    <row r="2" spans="1:26" ht="27.75" customHeight="1" x14ac:dyDescent="0.25">
      <c r="A2" s="135"/>
      <c r="B2" s="135"/>
      <c r="C2" s="135"/>
      <c r="D2" s="145" t="s">
        <v>163</v>
      </c>
      <c r="E2" s="170"/>
      <c r="F2" s="170"/>
      <c r="G2" s="170"/>
      <c r="H2" s="170"/>
      <c r="I2" s="135"/>
      <c r="J2" s="135"/>
      <c r="K2" s="135"/>
    </row>
    <row r="3" spans="1:26" ht="12.75" customHeight="1" x14ac:dyDescent="0.25">
      <c r="A3" s="135"/>
      <c r="B3" s="135"/>
      <c r="C3" s="135"/>
      <c r="D3" s="135"/>
      <c r="E3" s="135"/>
      <c r="F3" s="135"/>
      <c r="G3" s="135"/>
      <c r="H3" s="135"/>
      <c r="I3" s="135"/>
      <c r="J3" s="135"/>
      <c r="K3" s="135"/>
    </row>
    <row r="4" spans="1:26" ht="12.75" customHeight="1" x14ac:dyDescent="0.25">
      <c r="A4" s="135"/>
      <c r="B4" s="135"/>
      <c r="C4" s="135"/>
      <c r="D4" s="135"/>
      <c r="E4" s="135"/>
      <c r="F4" s="135"/>
      <c r="G4" s="135"/>
      <c r="H4" s="135"/>
      <c r="I4" s="135"/>
      <c r="J4" s="135"/>
      <c r="K4" s="135"/>
    </row>
    <row r="5" spans="1:26" ht="43.5" customHeight="1" x14ac:dyDescent="0.25">
      <c r="A5" s="143" t="s">
        <v>1</v>
      </c>
      <c r="B5" s="148"/>
      <c r="C5" s="148"/>
      <c r="D5" s="148"/>
      <c r="E5" s="148"/>
      <c r="F5" s="148"/>
      <c r="G5" s="148"/>
      <c r="H5" s="148"/>
      <c r="I5" s="148"/>
      <c r="J5" s="147"/>
      <c r="K5" s="135"/>
    </row>
    <row r="6" spans="1:26" ht="15.75" customHeight="1" x14ac:dyDescent="0.25">
      <c r="A6" s="135"/>
      <c r="B6" s="135"/>
      <c r="C6" s="135"/>
      <c r="D6" s="135"/>
      <c r="E6" s="135"/>
      <c r="F6" s="135"/>
      <c r="G6" s="135"/>
      <c r="H6" s="135"/>
      <c r="I6" s="135"/>
      <c r="J6" s="135"/>
      <c r="K6" s="135"/>
    </row>
    <row r="7" spans="1:26" ht="75.75" customHeight="1" x14ac:dyDescent="0.2">
      <c r="A7" s="188" t="s">
        <v>2</v>
      </c>
      <c r="B7" s="189" t="s">
        <v>186</v>
      </c>
      <c r="C7" s="189" t="s">
        <v>185</v>
      </c>
      <c r="D7" s="189" t="s">
        <v>184</v>
      </c>
      <c r="E7" s="189" t="s">
        <v>183</v>
      </c>
      <c r="F7" s="190" t="s">
        <v>182</v>
      </c>
      <c r="G7" s="191" t="s">
        <v>181</v>
      </c>
      <c r="H7" s="189" t="s">
        <v>156</v>
      </c>
      <c r="I7" s="189" t="s">
        <v>180</v>
      </c>
      <c r="J7" s="189" t="s">
        <v>179</v>
      </c>
      <c r="K7" s="166" t="s">
        <v>459</v>
      </c>
      <c r="L7" s="45"/>
      <c r="M7" s="45"/>
      <c r="N7" s="45"/>
      <c r="O7" s="45"/>
      <c r="P7" s="45"/>
      <c r="Q7" s="45"/>
      <c r="R7" s="45"/>
      <c r="S7" s="45"/>
      <c r="T7" s="45"/>
      <c r="U7" s="45"/>
      <c r="V7" s="45"/>
      <c r="W7" s="45"/>
      <c r="X7" s="45"/>
      <c r="Y7" s="45"/>
      <c r="Z7" s="45"/>
    </row>
    <row r="8" spans="1:26" ht="111.75" customHeight="1" x14ac:dyDescent="0.2">
      <c r="A8" s="192" t="s">
        <v>3</v>
      </c>
      <c r="B8" s="193" t="s">
        <v>402</v>
      </c>
      <c r="C8" s="194" t="s">
        <v>401</v>
      </c>
      <c r="D8" s="195" t="s">
        <v>400</v>
      </c>
      <c r="E8" s="217" t="s">
        <v>399</v>
      </c>
      <c r="F8" s="196" t="s">
        <v>398</v>
      </c>
      <c r="G8" s="196" t="s">
        <v>397</v>
      </c>
      <c r="H8" s="218" t="s">
        <v>379</v>
      </c>
      <c r="I8" s="193" t="s">
        <v>63</v>
      </c>
      <c r="J8" s="202" t="s">
        <v>396</v>
      </c>
      <c r="K8" s="151" t="s">
        <v>395</v>
      </c>
    </row>
    <row r="9" spans="1:26" ht="110.25" customHeight="1" x14ac:dyDescent="0.2">
      <c r="A9" s="192" t="s">
        <v>4</v>
      </c>
      <c r="B9" s="193" t="s">
        <v>394</v>
      </c>
      <c r="C9" s="193" t="s">
        <v>393</v>
      </c>
      <c r="D9" s="195" t="s">
        <v>392</v>
      </c>
      <c r="E9" s="217" t="s">
        <v>391</v>
      </c>
      <c r="F9" s="196" t="s">
        <v>390</v>
      </c>
      <c r="G9" s="196" t="s">
        <v>389</v>
      </c>
      <c r="H9" s="218" t="s">
        <v>379</v>
      </c>
      <c r="I9" s="193" t="s">
        <v>388</v>
      </c>
      <c r="J9" s="202" t="s">
        <v>387</v>
      </c>
      <c r="K9" s="151" t="s">
        <v>386</v>
      </c>
    </row>
    <row r="10" spans="1:26" ht="111" customHeight="1" x14ac:dyDescent="0.2">
      <c r="A10" s="192" t="s">
        <v>5</v>
      </c>
      <c r="B10" s="193" t="s">
        <v>385</v>
      </c>
      <c r="C10" s="194" t="s">
        <v>384</v>
      </c>
      <c r="D10" s="195" t="s">
        <v>383</v>
      </c>
      <c r="E10" s="217" t="s">
        <v>382</v>
      </c>
      <c r="F10" s="196" t="s">
        <v>381</v>
      </c>
      <c r="G10" s="196" t="s">
        <v>380</v>
      </c>
      <c r="H10" s="218" t="s">
        <v>379</v>
      </c>
      <c r="I10" s="193" t="s">
        <v>378</v>
      </c>
      <c r="J10" s="220" t="s">
        <v>377</v>
      </c>
      <c r="K10" s="151" t="s">
        <v>376</v>
      </c>
    </row>
    <row r="11" spans="1:26" ht="15" hidden="1" customHeight="1" x14ac:dyDescent="0.25">
      <c r="A11" s="199"/>
      <c r="B11" s="149"/>
      <c r="C11" s="149"/>
      <c r="D11" s="149"/>
      <c r="E11" s="149"/>
      <c r="F11" s="149"/>
      <c r="G11" s="149"/>
      <c r="H11" s="149"/>
      <c r="I11" s="149"/>
      <c r="J11" s="149"/>
      <c r="K11" s="135"/>
    </row>
    <row r="12" spans="1:26" ht="12.75" customHeight="1" x14ac:dyDescent="0.25">
      <c r="A12" s="135"/>
      <c r="B12" s="135"/>
      <c r="C12" s="135"/>
      <c r="D12" s="135"/>
      <c r="E12" s="135"/>
      <c r="F12" s="135"/>
      <c r="G12" s="135"/>
      <c r="H12" s="135"/>
      <c r="I12" s="135"/>
      <c r="J12" s="135"/>
      <c r="K12" s="135"/>
    </row>
    <row r="13" spans="1:26" ht="138.75" customHeight="1" x14ac:dyDescent="0.25">
      <c r="A13" s="38" t="s">
        <v>7</v>
      </c>
      <c r="B13" s="148"/>
      <c r="C13" s="148"/>
      <c r="D13" s="148"/>
      <c r="E13" s="148"/>
      <c r="F13" s="148"/>
      <c r="G13" s="148"/>
      <c r="H13" s="148"/>
      <c r="I13" s="148"/>
      <c r="J13" s="147"/>
      <c r="K13" s="135"/>
    </row>
    <row r="14" spans="1:26" ht="12.75" customHeight="1" x14ac:dyDescent="0.25">
      <c r="A14" s="135"/>
      <c r="B14" s="135"/>
      <c r="C14" s="135"/>
      <c r="D14" s="135"/>
      <c r="E14" s="135"/>
      <c r="F14" s="135"/>
      <c r="G14" s="135"/>
      <c r="H14" s="135"/>
      <c r="I14" s="135"/>
      <c r="J14" s="135"/>
      <c r="K14" s="135"/>
    </row>
    <row r="15" spans="1:26" ht="75" customHeight="1" x14ac:dyDescent="0.25">
      <c r="A15" s="38" t="s">
        <v>8</v>
      </c>
      <c r="B15" s="148"/>
      <c r="C15" s="148"/>
      <c r="D15" s="148"/>
      <c r="E15" s="148"/>
      <c r="F15" s="148"/>
      <c r="G15" s="148"/>
      <c r="H15" s="148"/>
      <c r="I15" s="148"/>
      <c r="J15" s="147"/>
      <c r="K15" s="135"/>
    </row>
    <row r="16" spans="1:26" ht="12.75" customHeight="1" x14ac:dyDescent="0.25">
      <c r="A16" s="135"/>
      <c r="B16" s="135"/>
      <c r="C16" s="135"/>
      <c r="D16" s="135"/>
      <c r="E16" s="135"/>
      <c r="F16" s="135"/>
      <c r="G16" s="135"/>
      <c r="H16" s="135"/>
      <c r="I16" s="135"/>
      <c r="J16" s="135"/>
      <c r="K16" s="135"/>
    </row>
    <row r="17" spans="1:11" ht="12.75" customHeight="1" x14ac:dyDescent="0.25">
      <c r="A17" s="135"/>
      <c r="B17" s="135"/>
      <c r="C17" s="135"/>
      <c r="D17" s="135"/>
      <c r="E17" s="135"/>
      <c r="F17" s="135"/>
      <c r="G17" s="135"/>
      <c r="H17" s="135"/>
      <c r="I17" s="135"/>
      <c r="J17" s="135"/>
      <c r="K17" s="135"/>
    </row>
    <row r="18" spans="1:11" ht="12.75" customHeight="1" x14ac:dyDescent="0.25">
      <c r="A18" s="135"/>
      <c r="B18" s="135"/>
      <c r="C18" s="135"/>
      <c r="D18" s="135"/>
      <c r="E18" s="135"/>
      <c r="F18" s="135"/>
      <c r="G18" s="135"/>
      <c r="H18" s="135"/>
      <c r="I18" s="135"/>
      <c r="J18" s="135"/>
      <c r="K18" s="135"/>
    </row>
    <row r="19" spans="1:11" ht="12.75" customHeight="1" x14ac:dyDescent="0.25">
      <c r="A19" s="135"/>
      <c r="B19" s="135"/>
      <c r="C19" s="135"/>
      <c r="D19" s="135"/>
      <c r="E19" s="135"/>
      <c r="F19" s="135"/>
      <c r="G19" s="135"/>
      <c r="H19" s="135"/>
      <c r="I19" s="135"/>
      <c r="J19" s="135"/>
      <c r="K19" s="135"/>
    </row>
    <row r="20" spans="1:11" ht="12.75" customHeight="1" x14ac:dyDescent="0.25">
      <c r="A20" s="135"/>
      <c r="B20" s="135"/>
      <c r="C20" s="135"/>
      <c r="D20" s="135"/>
      <c r="E20" s="135"/>
      <c r="F20" s="135"/>
      <c r="G20" s="135"/>
      <c r="H20" s="135"/>
      <c r="I20" s="135"/>
      <c r="J20" s="135"/>
      <c r="K20" s="135"/>
    </row>
    <row r="21" spans="1:11" ht="12.75" customHeight="1" x14ac:dyDescent="0.25">
      <c r="A21" s="135"/>
      <c r="B21" s="135"/>
      <c r="C21" s="135"/>
      <c r="D21" s="135"/>
      <c r="E21" s="135"/>
      <c r="F21" s="135"/>
      <c r="G21" s="135"/>
      <c r="H21" s="135"/>
      <c r="I21" s="135"/>
      <c r="J21" s="135"/>
      <c r="K21" s="135"/>
    </row>
    <row r="22" spans="1:11" ht="12.75" customHeight="1" x14ac:dyDescent="0.25">
      <c r="A22" s="135"/>
      <c r="B22" s="135"/>
      <c r="C22" s="135"/>
      <c r="D22" s="135"/>
      <c r="E22" s="135"/>
      <c r="F22" s="135"/>
      <c r="G22" s="135"/>
      <c r="H22" s="135"/>
      <c r="I22" s="135"/>
      <c r="J22" s="135"/>
      <c r="K22" s="135"/>
    </row>
    <row r="23" spans="1:11" ht="12.75" customHeight="1" x14ac:dyDescent="0.25">
      <c r="A23" s="135"/>
      <c r="B23" s="135"/>
      <c r="C23" s="135"/>
      <c r="D23" s="135"/>
      <c r="E23" s="135"/>
      <c r="F23" s="135"/>
      <c r="G23" s="135"/>
      <c r="H23" s="135"/>
      <c r="I23" s="135"/>
      <c r="J23" s="135"/>
      <c r="K23" s="135"/>
    </row>
    <row r="24" spans="1:11" ht="12.75" customHeight="1" x14ac:dyDescent="0.25">
      <c r="A24" s="135"/>
      <c r="B24" s="135"/>
      <c r="C24" s="135"/>
      <c r="D24" s="135"/>
      <c r="E24" s="135"/>
      <c r="F24" s="135"/>
      <c r="G24" s="135"/>
      <c r="H24" s="135"/>
      <c r="I24" s="135"/>
      <c r="J24" s="135"/>
      <c r="K24" s="135"/>
    </row>
    <row r="25" spans="1:11" ht="12.75" customHeight="1" x14ac:dyDescent="0.25">
      <c r="A25" s="135"/>
      <c r="B25" s="135"/>
      <c r="C25" s="135"/>
      <c r="D25" s="135"/>
      <c r="E25" s="135"/>
      <c r="F25" s="135"/>
      <c r="G25" s="135"/>
      <c r="H25" s="135"/>
      <c r="I25" s="135"/>
      <c r="J25" s="135"/>
      <c r="K25" s="135"/>
    </row>
    <row r="26" spans="1:11" ht="12.75" customHeight="1" x14ac:dyDescent="0.25">
      <c r="A26" s="135"/>
      <c r="B26" s="135"/>
      <c r="C26" s="135"/>
      <c r="D26" s="219"/>
      <c r="E26" s="219"/>
      <c r="F26" s="167"/>
      <c r="G26" s="167"/>
      <c r="H26" s="135"/>
      <c r="I26" s="135"/>
      <c r="J26" s="135"/>
      <c r="K26" s="135"/>
    </row>
    <row r="27" spans="1:11" ht="12.75" customHeight="1" x14ac:dyDescent="0.25">
      <c r="A27" s="135"/>
      <c r="B27" s="135"/>
      <c r="C27" s="135"/>
      <c r="D27" s="135"/>
      <c r="E27" s="135"/>
      <c r="F27" s="135"/>
      <c r="G27" s="135"/>
      <c r="H27" s="135"/>
      <c r="I27" s="135"/>
      <c r="J27" s="135"/>
      <c r="K27" s="135"/>
    </row>
    <row r="28" spans="1:11" ht="12.75" customHeight="1" x14ac:dyDescent="0.25">
      <c r="A28" s="135"/>
      <c r="B28" s="135"/>
      <c r="C28" s="135"/>
      <c r="D28" s="135"/>
      <c r="E28" s="135"/>
      <c r="F28" s="135"/>
      <c r="G28" s="135"/>
      <c r="H28" s="135"/>
      <c r="I28" s="135"/>
      <c r="J28" s="135"/>
      <c r="K28" s="135"/>
    </row>
    <row r="29" spans="1:11" ht="12.75" customHeight="1" x14ac:dyDescent="0.25">
      <c r="A29" s="135"/>
      <c r="B29" s="135"/>
      <c r="C29" s="135"/>
      <c r="D29" s="135"/>
      <c r="E29" s="135"/>
      <c r="F29" s="135"/>
      <c r="G29" s="135"/>
      <c r="H29" s="135"/>
      <c r="I29" s="135"/>
      <c r="J29" s="135"/>
      <c r="K29" s="135"/>
    </row>
    <row r="30" spans="1:11" ht="12.75" customHeight="1" x14ac:dyDescent="0.25">
      <c r="A30" s="135"/>
      <c r="B30" s="135"/>
      <c r="C30" s="135"/>
      <c r="D30" s="135"/>
      <c r="E30" s="135"/>
      <c r="F30" s="135"/>
      <c r="G30" s="135"/>
      <c r="H30" s="135"/>
      <c r="I30" s="135"/>
      <c r="J30" s="135"/>
      <c r="K30" s="135"/>
    </row>
    <row r="31" spans="1:11" ht="12.75" customHeight="1" x14ac:dyDescent="0.25">
      <c r="A31" s="135"/>
      <c r="B31" s="135"/>
      <c r="C31" s="135"/>
      <c r="D31" s="135"/>
      <c r="E31" s="135"/>
      <c r="F31" s="135"/>
      <c r="G31" s="135"/>
      <c r="H31" s="135"/>
      <c r="I31" s="135"/>
      <c r="J31" s="135"/>
      <c r="K31" s="135"/>
    </row>
    <row r="32" spans="1:11" ht="12.75" customHeight="1" x14ac:dyDescent="0.25">
      <c r="A32" s="135"/>
      <c r="B32" s="135"/>
      <c r="C32" s="135"/>
      <c r="D32" s="135"/>
      <c r="E32" s="135"/>
      <c r="F32" s="135"/>
      <c r="G32" s="135"/>
      <c r="H32" s="135"/>
      <c r="I32" s="135"/>
      <c r="J32" s="135"/>
      <c r="K32" s="135"/>
    </row>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4">
    <mergeCell ref="D2:H2"/>
    <mergeCell ref="A5:J5"/>
    <mergeCell ref="A13:J13"/>
    <mergeCell ref="A15:J15"/>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636BE-7EB6-45FA-B865-DE78F8175652}">
  <dimension ref="A1:Z1000"/>
  <sheetViews>
    <sheetView zoomScale="85" zoomScaleNormal="85" workbookViewId="0">
      <selection activeCell="B9" sqref="B9:K9"/>
    </sheetView>
  </sheetViews>
  <sheetFormatPr baseColWidth="10" defaultColWidth="12.5703125" defaultRowHeight="15" customHeight="1" x14ac:dyDescent="0.2"/>
  <cols>
    <col min="1" max="3" width="19.140625" style="133" customWidth="1"/>
    <col min="4" max="4" width="21.85546875" style="133" customWidth="1"/>
    <col min="5" max="6" width="17" style="133" customWidth="1"/>
    <col min="7" max="7" width="18" style="133" customWidth="1"/>
    <col min="8" max="8" width="17" style="133" customWidth="1"/>
    <col min="9" max="10" width="19.140625" style="133" customWidth="1"/>
    <col min="11" max="11" width="28.85546875" style="133" customWidth="1"/>
    <col min="12" max="12" width="28.7109375" style="133" customWidth="1"/>
    <col min="13" max="26" width="10" style="133" customWidth="1"/>
    <col min="27" max="16384" width="12.5703125" style="133"/>
  </cols>
  <sheetData>
    <row r="1" spans="1:26" ht="12.75" customHeight="1" x14ac:dyDescent="0.2"/>
    <row r="2" spans="1:26" ht="27.75" customHeight="1" x14ac:dyDescent="0.2">
      <c r="D2" s="109" t="s">
        <v>163</v>
      </c>
      <c r="E2" s="178"/>
      <c r="F2" s="178"/>
      <c r="G2" s="178"/>
      <c r="H2" s="178"/>
    </row>
    <row r="3" spans="1:26" ht="12.75" customHeight="1" x14ac:dyDescent="0.2"/>
    <row r="4" spans="1:26" ht="12.75" customHeight="1" x14ac:dyDescent="0.2"/>
    <row r="5" spans="1:26" ht="43.5" customHeight="1" x14ac:dyDescent="0.2">
      <c r="A5" s="107" t="s">
        <v>1</v>
      </c>
      <c r="B5" s="89"/>
      <c r="C5" s="89"/>
      <c r="D5" s="89"/>
      <c r="E5" s="89"/>
      <c r="F5" s="89"/>
      <c r="G5" s="89"/>
      <c r="H5" s="89"/>
      <c r="I5" s="89"/>
      <c r="J5" s="88"/>
    </row>
    <row r="6" spans="1:26" ht="15.75" customHeight="1" x14ac:dyDescent="0.2"/>
    <row r="7" spans="1:26" ht="75.75" customHeight="1" x14ac:dyDescent="0.2">
      <c r="A7" s="210" t="s">
        <v>2</v>
      </c>
      <c r="B7" s="211" t="s">
        <v>466</v>
      </c>
      <c r="C7" s="211" t="s">
        <v>467</v>
      </c>
      <c r="D7" s="211" t="s">
        <v>468</v>
      </c>
      <c r="E7" s="211" t="s">
        <v>469</v>
      </c>
      <c r="F7" s="212" t="s">
        <v>470</v>
      </c>
      <c r="G7" s="213" t="s">
        <v>471</v>
      </c>
      <c r="H7" s="211" t="s">
        <v>156</v>
      </c>
      <c r="I7" s="211" t="s">
        <v>472</v>
      </c>
      <c r="J7" s="211" t="s">
        <v>473</v>
      </c>
      <c r="K7" s="166" t="s">
        <v>459</v>
      </c>
      <c r="L7" s="45"/>
      <c r="M7" s="45"/>
      <c r="N7" s="45"/>
      <c r="O7" s="45"/>
      <c r="P7" s="45"/>
      <c r="Q7" s="45"/>
      <c r="R7" s="45"/>
      <c r="S7" s="45"/>
      <c r="T7" s="45"/>
      <c r="U7" s="45"/>
      <c r="V7" s="45"/>
      <c r="W7" s="45"/>
      <c r="X7" s="45"/>
      <c r="Y7" s="45"/>
      <c r="Z7" s="45"/>
    </row>
    <row r="8" spans="1:26" ht="113.25" customHeight="1" x14ac:dyDescent="0.2">
      <c r="A8" s="203" t="s">
        <v>3</v>
      </c>
      <c r="B8" s="204" t="s">
        <v>422</v>
      </c>
      <c r="C8" s="205" t="s">
        <v>421</v>
      </c>
      <c r="D8" s="206" t="s">
        <v>420</v>
      </c>
      <c r="E8" s="207">
        <v>1080000</v>
      </c>
      <c r="F8" s="207">
        <v>1130500</v>
      </c>
      <c r="G8" s="208" t="s">
        <v>419</v>
      </c>
      <c r="H8" s="209" t="s">
        <v>379</v>
      </c>
      <c r="I8" s="204" t="s">
        <v>418</v>
      </c>
      <c r="J8" s="214" t="s">
        <v>417</v>
      </c>
      <c r="K8" s="216" t="s">
        <v>416</v>
      </c>
    </row>
    <row r="9" spans="1:26" ht="105" customHeight="1" x14ac:dyDescent="0.2">
      <c r="A9" s="177" t="s">
        <v>4</v>
      </c>
      <c r="B9" s="172" t="s">
        <v>415</v>
      </c>
      <c r="C9" s="176" t="s">
        <v>414</v>
      </c>
      <c r="D9" s="175" t="s">
        <v>413</v>
      </c>
      <c r="E9" s="174">
        <v>549900</v>
      </c>
      <c r="F9" s="173">
        <v>654381</v>
      </c>
      <c r="G9" s="180" t="s">
        <v>412</v>
      </c>
      <c r="H9" s="179" t="s">
        <v>379</v>
      </c>
      <c r="I9" s="172" t="s">
        <v>411</v>
      </c>
      <c r="J9" s="215" t="s">
        <v>410</v>
      </c>
      <c r="K9" s="216" t="s">
        <v>409</v>
      </c>
    </row>
    <row r="10" spans="1:26" ht="105" customHeight="1" x14ac:dyDescent="0.2">
      <c r="A10" s="177" t="s">
        <v>5</v>
      </c>
      <c r="B10" s="172" t="s">
        <v>408</v>
      </c>
      <c r="C10" s="176" t="s">
        <v>407</v>
      </c>
      <c r="D10" s="175" t="s">
        <v>406</v>
      </c>
      <c r="E10" s="173">
        <v>848000</v>
      </c>
      <c r="F10" s="173">
        <v>1009120</v>
      </c>
      <c r="G10" s="180" t="s">
        <v>405</v>
      </c>
      <c r="H10" s="179" t="s">
        <v>379</v>
      </c>
      <c r="I10" s="172" t="s">
        <v>378</v>
      </c>
      <c r="J10" s="215" t="s">
        <v>404</v>
      </c>
      <c r="K10" s="216" t="s">
        <v>403</v>
      </c>
    </row>
    <row r="11" spans="1:26" ht="15" hidden="1" customHeight="1" x14ac:dyDescent="0.2">
      <c r="A11" s="92"/>
      <c r="B11" s="91"/>
      <c r="C11" s="91"/>
      <c r="D11" s="91"/>
      <c r="E11" s="91"/>
      <c r="F11" s="91"/>
      <c r="G11" s="91"/>
      <c r="H11" s="91"/>
      <c r="I11" s="91"/>
      <c r="J11" s="91"/>
    </row>
    <row r="12" spans="1:26" ht="12.75" customHeight="1" x14ac:dyDescent="0.2"/>
    <row r="13" spans="1:26" ht="138.75" customHeight="1" x14ac:dyDescent="0.2">
      <c r="A13" s="90" t="s">
        <v>207</v>
      </c>
      <c r="B13" s="89"/>
      <c r="C13" s="89"/>
      <c r="D13" s="89"/>
      <c r="E13" s="89"/>
      <c r="F13" s="89"/>
      <c r="G13" s="89"/>
      <c r="H13" s="89"/>
      <c r="I13" s="89"/>
      <c r="J13" s="88"/>
    </row>
    <row r="14" spans="1:26" ht="12.75" customHeight="1" x14ac:dyDescent="0.2"/>
    <row r="15" spans="1:26" ht="75" customHeight="1" x14ac:dyDescent="0.2">
      <c r="A15" s="90" t="s">
        <v>206</v>
      </c>
      <c r="B15" s="89"/>
      <c r="C15" s="89"/>
      <c r="D15" s="89"/>
      <c r="E15" s="89"/>
      <c r="F15" s="89"/>
      <c r="G15" s="89"/>
      <c r="H15" s="89"/>
      <c r="I15" s="89"/>
      <c r="J15" s="88"/>
    </row>
    <row r="16" spans="1:26" ht="12.75" customHeight="1" x14ac:dyDescent="0.2"/>
    <row r="17" spans="4:7" ht="12.75" customHeight="1" x14ac:dyDescent="0.2"/>
    <row r="18" spans="4:7" ht="12.75" customHeight="1" x14ac:dyDescent="0.2"/>
    <row r="19" spans="4:7" ht="12.75" customHeight="1" x14ac:dyDescent="0.2"/>
    <row r="20" spans="4:7" ht="12.75" customHeight="1" x14ac:dyDescent="0.2"/>
    <row r="21" spans="4:7" ht="12.75" customHeight="1" x14ac:dyDescent="0.2"/>
    <row r="22" spans="4:7" ht="12.75" customHeight="1" x14ac:dyDescent="0.2"/>
    <row r="23" spans="4:7" ht="12.75" customHeight="1" x14ac:dyDescent="0.2"/>
    <row r="24" spans="4:7" ht="12.75" customHeight="1" x14ac:dyDescent="0.2"/>
    <row r="25" spans="4:7" ht="12.75" customHeight="1" x14ac:dyDescent="0.2"/>
    <row r="26" spans="4:7" ht="12.75" customHeight="1" x14ac:dyDescent="0.2">
      <c r="D26" s="56"/>
      <c r="E26" s="56"/>
      <c r="F26" s="55"/>
      <c r="G26" s="55"/>
    </row>
    <row r="27" spans="4:7" ht="12.75" customHeight="1" x14ac:dyDescent="0.2"/>
    <row r="28" spans="4:7" ht="12.75" customHeight="1" x14ac:dyDescent="0.2"/>
    <row r="29" spans="4:7" ht="12.75" customHeight="1" x14ac:dyDescent="0.2"/>
    <row r="30" spans="4:7" ht="12.75" customHeight="1" x14ac:dyDescent="0.2"/>
    <row r="31" spans="4:7" ht="12.75" customHeight="1" x14ac:dyDescent="0.2"/>
    <row r="32" spans="4:7"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4">
    <mergeCell ref="D2:H2"/>
    <mergeCell ref="A5:J5"/>
    <mergeCell ref="A13:J13"/>
    <mergeCell ref="A15:J15"/>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675A4-9CAD-4C64-9F17-318A8997F8BE}">
  <dimension ref="A1:Z1000"/>
  <sheetViews>
    <sheetView zoomScale="85" zoomScaleNormal="85" workbookViewId="0">
      <selection activeCell="B8" sqref="B8:K8"/>
    </sheetView>
  </sheetViews>
  <sheetFormatPr baseColWidth="10" defaultColWidth="12.5703125" defaultRowHeight="15" customHeight="1" x14ac:dyDescent="0.2"/>
  <cols>
    <col min="1" max="2" width="19.140625" style="133" customWidth="1"/>
    <col min="3" max="3" width="25.7109375" style="133" customWidth="1"/>
    <col min="4" max="4" width="29.7109375" style="133" customWidth="1"/>
    <col min="5" max="6" width="17" style="133" customWidth="1"/>
    <col min="7" max="7" width="18" style="133" customWidth="1"/>
    <col min="8" max="8" width="17" style="133" customWidth="1"/>
    <col min="9" max="9" width="19.140625" style="133" customWidth="1"/>
    <col min="10" max="10" width="27.7109375" style="133" customWidth="1"/>
    <col min="11" max="11" width="26" style="133" customWidth="1"/>
    <col min="12" max="12" width="29.140625" style="133" customWidth="1"/>
    <col min="13" max="26" width="10" style="133" customWidth="1"/>
    <col min="27" max="16384" width="12.5703125" style="133"/>
  </cols>
  <sheetData>
    <row r="1" spans="1:26" ht="12.75" customHeight="1" x14ac:dyDescent="0.25">
      <c r="A1" s="135"/>
      <c r="B1" s="135"/>
      <c r="C1" s="135"/>
      <c r="D1" s="135"/>
      <c r="E1" s="135"/>
      <c r="F1" s="135"/>
      <c r="G1" s="135"/>
      <c r="H1" s="135"/>
      <c r="I1" s="135"/>
      <c r="J1" s="135"/>
      <c r="K1" s="135"/>
      <c r="L1" s="135"/>
    </row>
    <row r="2" spans="1:26" ht="27.75" customHeight="1" x14ac:dyDescent="0.25">
      <c r="A2" s="135"/>
      <c r="B2" s="135"/>
      <c r="C2" s="135"/>
      <c r="D2" s="145" t="s">
        <v>163</v>
      </c>
      <c r="E2" s="170"/>
      <c r="F2" s="170"/>
      <c r="G2" s="170"/>
      <c r="H2" s="170"/>
      <c r="I2" s="135"/>
      <c r="J2" s="135"/>
      <c r="K2" s="135"/>
      <c r="L2" s="135"/>
    </row>
    <row r="3" spans="1:26" ht="12.75" customHeight="1" x14ac:dyDescent="0.25">
      <c r="A3" s="135"/>
      <c r="B3" s="135"/>
      <c r="C3" s="135"/>
      <c r="D3" s="135"/>
      <c r="E3" s="135"/>
      <c r="F3" s="135"/>
      <c r="G3" s="135"/>
      <c r="H3" s="135"/>
      <c r="I3" s="135"/>
      <c r="J3" s="135"/>
      <c r="K3" s="135"/>
      <c r="L3" s="135"/>
    </row>
    <row r="4" spans="1:26" ht="12.75" customHeight="1" x14ac:dyDescent="0.25">
      <c r="A4" s="135"/>
      <c r="B4" s="135"/>
      <c r="C4" s="135"/>
      <c r="D4" s="135"/>
      <c r="E4" s="135"/>
      <c r="F4" s="135"/>
      <c r="G4" s="135"/>
      <c r="H4" s="135"/>
      <c r="I4" s="135"/>
      <c r="J4" s="135"/>
      <c r="K4" s="135"/>
      <c r="L4" s="135"/>
    </row>
    <row r="5" spans="1:26" ht="43.5" customHeight="1" x14ac:dyDescent="0.25">
      <c r="A5" s="143" t="s">
        <v>1</v>
      </c>
      <c r="B5" s="148"/>
      <c r="C5" s="148"/>
      <c r="D5" s="148"/>
      <c r="E5" s="148"/>
      <c r="F5" s="148"/>
      <c r="G5" s="148"/>
      <c r="H5" s="148"/>
      <c r="I5" s="148"/>
      <c r="J5" s="147"/>
      <c r="K5" s="135"/>
      <c r="L5" s="135"/>
    </row>
    <row r="6" spans="1:26" ht="15.75" customHeight="1" x14ac:dyDescent="0.25">
      <c r="A6" s="135"/>
      <c r="B6" s="135"/>
      <c r="C6" s="135"/>
      <c r="D6" s="135"/>
      <c r="E6" s="135"/>
      <c r="F6" s="135"/>
      <c r="G6" s="135"/>
      <c r="H6" s="135"/>
      <c r="I6" s="135"/>
      <c r="J6" s="135"/>
      <c r="K6" s="135"/>
      <c r="L6" s="135"/>
    </row>
    <row r="7" spans="1:26" ht="75.75" customHeight="1" x14ac:dyDescent="0.2">
      <c r="A7" s="188" t="s">
        <v>2</v>
      </c>
      <c r="B7" s="189" t="s">
        <v>186</v>
      </c>
      <c r="C7" s="189" t="s">
        <v>185</v>
      </c>
      <c r="D7" s="189" t="s">
        <v>184</v>
      </c>
      <c r="E7" s="189" t="s">
        <v>183</v>
      </c>
      <c r="F7" s="190" t="s">
        <v>182</v>
      </c>
      <c r="G7" s="191" t="s">
        <v>181</v>
      </c>
      <c r="H7" s="189" t="s">
        <v>156</v>
      </c>
      <c r="I7" s="189" t="s">
        <v>180</v>
      </c>
      <c r="J7" s="201" t="s">
        <v>179</v>
      </c>
      <c r="K7" s="166" t="s">
        <v>459</v>
      </c>
      <c r="L7" s="84"/>
      <c r="M7" s="45"/>
      <c r="N7" s="45"/>
      <c r="O7" s="45"/>
      <c r="P7" s="45"/>
      <c r="Q7" s="45"/>
      <c r="R7" s="45"/>
      <c r="S7" s="45"/>
      <c r="T7" s="45"/>
      <c r="U7" s="45"/>
      <c r="V7" s="45"/>
      <c r="W7" s="45"/>
      <c r="X7" s="45"/>
      <c r="Y7" s="45"/>
      <c r="Z7" s="45"/>
    </row>
    <row r="8" spans="1:26" ht="120.75" customHeight="1" x14ac:dyDescent="0.2">
      <c r="A8" s="192" t="s">
        <v>3</v>
      </c>
      <c r="B8" s="193" t="s">
        <v>435</v>
      </c>
      <c r="C8" s="194" t="s">
        <v>407</v>
      </c>
      <c r="D8" s="195" t="s">
        <v>439</v>
      </c>
      <c r="E8" s="196">
        <v>493841</v>
      </c>
      <c r="F8" s="196">
        <v>714000</v>
      </c>
      <c r="G8" s="197" t="s">
        <v>438</v>
      </c>
      <c r="H8" s="198" t="s">
        <v>379</v>
      </c>
      <c r="I8" s="193" t="s">
        <v>418</v>
      </c>
      <c r="J8" s="202" t="s">
        <v>437</v>
      </c>
      <c r="K8" s="151" t="s">
        <v>436</v>
      </c>
    </row>
    <row r="9" spans="1:26" ht="120" customHeight="1" x14ac:dyDescent="0.2">
      <c r="A9" s="192" t="s">
        <v>4</v>
      </c>
      <c r="B9" s="193" t="s">
        <v>435</v>
      </c>
      <c r="C9" s="194" t="s">
        <v>434</v>
      </c>
      <c r="D9" s="195" t="s">
        <v>433</v>
      </c>
      <c r="E9" s="196">
        <v>693067</v>
      </c>
      <c r="F9" s="196">
        <v>1009120</v>
      </c>
      <c r="G9" s="197" t="s">
        <v>432</v>
      </c>
      <c r="H9" s="198" t="s">
        <v>379</v>
      </c>
      <c r="I9" s="193" t="s">
        <v>411</v>
      </c>
      <c r="J9" s="202" t="s">
        <v>431</v>
      </c>
      <c r="K9" s="151" t="s">
        <v>430</v>
      </c>
    </row>
    <row r="10" spans="1:26" ht="120" customHeight="1" x14ac:dyDescent="0.2">
      <c r="A10" s="192" t="s">
        <v>5</v>
      </c>
      <c r="B10" s="193" t="s">
        <v>429</v>
      </c>
      <c r="C10" s="194" t="s">
        <v>428</v>
      </c>
      <c r="D10" s="195" t="s">
        <v>427</v>
      </c>
      <c r="E10" s="196">
        <v>771286</v>
      </c>
      <c r="F10" s="196">
        <v>948430</v>
      </c>
      <c r="G10" s="197" t="s">
        <v>426</v>
      </c>
      <c r="H10" s="198" t="s">
        <v>379</v>
      </c>
      <c r="I10" s="193" t="s">
        <v>418</v>
      </c>
      <c r="J10" s="202" t="s">
        <v>425</v>
      </c>
      <c r="K10" s="151" t="s">
        <v>424</v>
      </c>
    </row>
    <row r="11" spans="1:26" ht="61.5" hidden="1" customHeight="1" x14ac:dyDescent="0.25">
      <c r="A11" s="199"/>
      <c r="B11" s="149"/>
      <c r="C11" s="149"/>
      <c r="D11" s="149"/>
      <c r="E11" s="149"/>
      <c r="F11" s="149"/>
      <c r="G11" s="149"/>
      <c r="H11" s="149"/>
      <c r="I11" s="149"/>
      <c r="J11" s="149"/>
      <c r="K11" s="135"/>
      <c r="L11" s="200" t="s">
        <v>423</v>
      </c>
    </row>
    <row r="12" spans="1:26" ht="12.75" customHeight="1" x14ac:dyDescent="0.25">
      <c r="A12" s="135"/>
      <c r="B12" s="135"/>
      <c r="C12" s="135"/>
      <c r="D12" s="135"/>
      <c r="E12" s="135"/>
      <c r="F12" s="135"/>
      <c r="G12" s="135"/>
      <c r="H12" s="135"/>
      <c r="I12" s="135"/>
      <c r="J12" s="135"/>
      <c r="K12" s="135"/>
      <c r="L12" s="135"/>
    </row>
    <row r="13" spans="1:26" ht="138.75" customHeight="1" x14ac:dyDescent="0.25">
      <c r="A13" s="38" t="s">
        <v>7</v>
      </c>
      <c r="B13" s="148"/>
      <c r="C13" s="148"/>
      <c r="D13" s="148"/>
      <c r="E13" s="148"/>
      <c r="F13" s="148"/>
      <c r="G13" s="148"/>
      <c r="H13" s="148"/>
      <c r="I13" s="148"/>
      <c r="J13" s="147"/>
      <c r="K13" s="135"/>
      <c r="L13" s="135"/>
    </row>
    <row r="14" spans="1:26" ht="12.75" customHeight="1" x14ac:dyDescent="0.25">
      <c r="A14" s="135"/>
      <c r="B14" s="135"/>
      <c r="C14" s="135"/>
      <c r="D14" s="135"/>
      <c r="E14" s="135"/>
      <c r="F14" s="135"/>
      <c r="G14" s="135"/>
      <c r="H14" s="135"/>
      <c r="I14" s="135"/>
      <c r="J14" s="135"/>
      <c r="K14" s="135"/>
      <c r="L14" s="135"/>
    </row>
    <row r="15" spans="1:26" ht="75" customHeight="1" x14ac:dyDescent="0.25">
      <c r="A15" s="38" t="s">
        <v>8</v>
      </c>
      <c r="B15" s="148"/>
      <c r="C15" s="148"/>
      <c r="D15" s="148"/>
      <c r="E15" s="148"/>
      <c r="F15" s="148"/>
      <c r="G15" s="148"/>
      <c r="H15" s="148"/>
      <c r="I15" s="148"/>
      <c r="J15" s="147"/>
      <c r="K15" s="135"/>
      <c r="L15" s="135"/>
    </row>
    <row r="16" spans="1:26" ht="12.75" customHeight="1" x14ac:dyDescent="0.25">
      <c r="A16" s="135"/>
      <c r="B16" s="135"/>
      <c r="C16" s="135"/>
      <c r="D16" s="135"/>
      <c r="E16" s="135"/>
      <c r="F16" s="135"/>
      <c r="G16" s="135"/>
      <c r="H16" s="135"/>
      <c r="I16" s="135"/>
      <c r="J16" s="135"/>
      <c r="K16" s="135"/>
      <c r="L16" s="135"/>
    </row>
    <row r="17" spans="1:12" ht="12.75" customHeight="1" x14ac:dyDescent="0.25">
      <c r="A17" s="135"/>
      <c r="B17" s="135"/>
      <c r="C17" s="135"/>
      <c r="D17" s="135"/>
      <c r="E17" s="135"/>
      <c r="F17" s="135"/>
      <c r="G17" s="135"/>
      <c r="H17" s="135"/>
      <c r="I17" s="135"/>
      <c r="J17" s="135"/>
      <c r="K17" s="135"/>
      <c r="L17" s="135"/>
    </row>
    <row r="18" spans="1:12" ht="12.75" customHeight="1" x14ac:dyDescent="0.2"/>
    <row r="19" spans="1:12" ht="12.75" customHeight="1" x14ac:dyDescent="0.2"/>
    <row r="20" spans="1:12" ht="12.75" customHeight="1" x14ac:dyDescent="0.2"/>
    <row r="21" spans="1:12" ht="12.75" customHeight="1" x14ac:dyDescent="0.2"/>
    <row r="22" spans="1:12" ht="12.75" customHeight="1" x14ac:dyDescent="0.2"/>
    <row r="23" spans="1:12" ht="12.75" customHeight="1" x14ac:dyDescent="0.2"/>
    <row r="24" spans="1:12" ht="12.75" customHeight="1" x14ac:dyDescent="0.2"/>
    <row r="25" spans="1:12" ht="12.75" customHeight="1" x14ac:dyDescent="0.2"/>
    <row r="26" spans="1:12" ht="12.75" customHeight="1" x14ac:dyDescent="0.2">
      <c r="D26" s="56"/>
      <c r="E26" s="56"/>
      <c r="F26" s="55"/>
      <c r="G26" s="55"/>
    </row>
    <row r="27" spans="1:12" ht="12.75" customHeight="1" x14ac:dyDescent="0.2"/>
    <row r="28" spans="1:12" ht="12.75" customHeight="1" x14ac:dyDescent="0.2"/>
    <row r="29" spans="1:12" ht="12.75" customHeight="1" x14ac:dyDescent="0.2"/>
    <row r="30" spans="1:12" ht="12.75" customHeight="1" x14ac:dyDescent="0.2"/>
    <row r="31" spans="1:12" ht="12.75" customHeight="1" x14ac:dyDescent="0.2"/>
    <row r="32" spans="1:1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4">
    <mergeCell ref="D2:H2"/>
    <mergeCell ref="A5:J5"/>
    <mergeCell ref="A13:J13"/>
    <mergeCell ref="A15:J15"/>
  </mergeCell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6A196-775E-4F6A-B4C8-6FC51E40501B}">
  <dimension ref="A1:Z1000"/>
  <sheetViews>
    <sheetView topLeftCell="A4" zoomScale="85" zoomScaleNormal="85" workbookViewId="0">
      <selection activeCell="B8" sqref="B8:K8"/>
    </sheetView>
  </sheetViews>
  <sheetFormatPr baseColWidth="10" defaultColWidth="12.5703125" defaultRowHeight="15" customHeight="1" x14ac:dyDescent="0.2"/>
  <cols>
    <col min="1" max="3" width="19.140625" style="133" customWidth="1"/>
    <col min="4" max="4" width="21.85546875" style="133" customWidth="1"/>
    <col min="5" max="6" width="17" style="133" customWidth="1"/>
    <col min="7" max="7" width="18" style="133" customWidth="1"/>
    <col min="8" max="8" width="17" style="133" customWidth="1"/>
    <col min="9" max="10" width="19.140625" style="133" customWidth="1"/>
    <col min="11" max="11" width="23.28515625" style="133" customWidth="1"/>
    <col min="12" max="12" width="29" style="133" customWidth="1"/>
    <col min="13" max="26" width="10" style="133" customWidth="1"/>
    <col min="27" max="16384" width="12.5703125" style="133"/>
  </cols>
  <sheetData>
    <row r="1" spans="1:26" ht="12.75" customHeight="1" x14ac:dyDescent="0.2"/>
    <row r="2" spans="1:26" ht="27.75" customHeight="1" x14ac:dyDescent="0.2">
      <c r="D2" s="109" t="s">
        <v>163</v>
      </c>
      <c r="E2" s="178"/>
      <c r="F2" s="178"/>
      <c r="G2" s="178"/>
      <c r="H2" s="178"/>
    </row>
    <row r="3" spans="1:26" ht="12.75" customHeight="1" x14ac:dyDescent="0.2"/>
    <row r="4" spans="1:26" ht="12.75" customHeight="1" x14ac:dyDescent="0.2"/>
    <row r="5" spans="1:26" ht="43.5" customHeight="1" x14ac:dyDescent="0.2">
      <c r="A5" s="187">
        <v>0</v>
      </c>
      <c r="B5" s="89"/>
      <c r="C5" s="89"/>
      <c r="D5" s="89"/>
      <c r="E5" s="89"/>
      <c r="F5" s="89"/>
      <c r="G5" s="89"/>
      <c r="H5" s="89"/>
      <c r="I5" s="89"/>
      <c r="J5" s="88"/>
    </row>
    <row r="6" spans="1:26" ht="15.75" customHeight="1" x14ac:dyDescent="0.2"/>
    <row r="7" spans="1:26" ht="75.75" customHeight="1" x14ac:dyDescent="0.2">
      <c r="A7" s="106" t="s">
        <v>2</v>
      </c>
      <c r="B7" s="130" t="s">
        <v>233</v>
      </c>
      <c r="C7" s="130" t="s">
        <v>232</v>
      </c>
      <c r="D7" s="130" t="s">
        <v>231</v>
      </c>
      <c r="E7" s="130" t="s">
        <v>230</v>
      </c>
      <c r="F7" s="132" t="s">
        <v>229</v>
      </c>
      <c r="G7" s="131" t="s">
        <v>228</v>
      </c>
      <c r="H7" s="130" t="s">
        <v>156</v>
      </c>
      <c r="I7" s="130" t="s">
        <v>227</v>
      </c>
      <c r="J7" s="130" t="s">
        <v>226</v>
      </c>
      <c r="K7" s="166" t="s">
        <v>459</v>
      </c>
      <c r="L7" s="45"/>
      <c r="M7" s="45"/>
      <c r="N7" s="45"/>
      <c r="O7" s="45"/>
      <c r="P7" s="45"/>
      <c r="Q7" s="45"/>
      <c r="R7" s="45"/>
      <c r="S7" s="45"/>
      <c r="T7" s="45"/>
      <c r="U7" s="45"/>
      <c r="V7" s="45"/>
      <c r="W7" s="45"/>
      <c r="X7" s="45"/>
      <c r="Y7" s="45"/>
      <c r="Z7" s="45"/>
    </row>
    <row r="8" spans="1:26" ht="94.15" customHeight="1" x14ac:dyDescent="0.2">
      <c r="A8" s="177" t="s">
        <v>3</v>
      </c>
      <c r="B8" s="186" t="s">
        <v>455</v>
      </c>
      <c r="C8" s="176" t="s">
        <v>407</v>
      </c>
      <c r="D8" s="185" t="s">
        <v>454</v>
      </c>
      <c r="E8" s="174">
        <v>60000</v>
      </c>
      <c r="F8" s="173">
        <v>72471</v>
      </c>
      <c r="G8" s="180" t="s">
        <v>453</v>
      </c>
      <c r="H8" s="179" t="s">
        <v>379</v>
      </c>
      <c r="I8" s="172" t="s">
        <v>418</v>
      </c>
      <c r="J8" s="184" t="s">
        <v>452</v>
      </c>
      <c r="K8" s="171" t="s">
        <v>451</v>
      </c>
    </row>
    <row r="9" spans="1:26" ht="85.9" customHeight="1" x14ac:dyDescent="0.2">
      <c r="A9" s="177" t="s">
        <v>4</v>
      </c>
      <c r="B9" s="172" t="s">
        <v>450</v>
      </c>
      <c r="C9" s="176" t="s">
        <v>434</v>
      </c>
      <c r="D9" s="175" t="s">
        <v>449</v>
      </c>
      <c r="E9" s="174">
        <v>169990</v>
      </c>
      <c r="F9" s="173">
        <v>202288</v>
      </c>
      <c r="G9" s="180" t="s">
        <v>448</v>
      </c>
      <c r="H9" s="179" t="s">
        <v>379</v>
      </c>
      <c r="I9" s="172" t="s">
        <v>411</v>
      </c>
      <c r="J9" s="183" t="s">
        <v>447</v>
      </c>
      <c r="K9" s="171" t="s">
        <v>446</v>
      </c>
    </row>
    <row r="10" spans="1:26" ht="67.900000000000006" customHeight="1" x14ac:dyDescent="0.2">
      <c r="A10" s="177" t="s">
        <v>5</v>
      </c>
      <c r="B10" s="183" t="s">
        <v>445</v>
      </c>
      <c r="C10" s="176" t="s">
        <v>428</v>
      </c>
      <c r="D10" s="181" t="s">
        <v>444</v>
      </c>
      <c r="E10" s="182">
        <v>113885</v>
      </c>
      <c r="F10" s="173">
        <v>135523</v>
      </c>
      <c r="G10" s="180" t="s">
        <v>443</v>
      </c>
      <c r="H10" s="179" t="s">
        <v>379</v>
      </c>
      <c r="I10" s="172" t="s">
        <v>418</v>
      </c>
      <c r="J10" s="181" t="s">
        <v>442</v>
      </c>
      <c r="K10" s="171" t="s">
        <v>441</v>
      </c>
    </row>
    <row r="11" spans="1:26" ht="12.6" customHeight="1" x14ac:dyDescent="0.2">
      <c r="A11" s="92"/>
      <c r="B11" s="91"/>
      <c r="C11" s="91"/>
      <c r="D11" s="91"/>
      <c r="E11" s="91"/>
      <c r="F11" s="91"/>
      <c r="G11" s="91"/>
      <c r="H11" s="91"/>
      <c r="I11" s="91"/>
      <c r="J11" s="91"/>
    </row>
    <row r="12" spans="1:26" ht="12.75" customHeight="1" x14ac:dyDescent="0.2"/>
    <row r="13" spans="1:26" ht="138.75" customHeight="1" x14ac:dyDescent="0.2">
      <c r="A13" s="90" t="s">
        <v>207</v>
      </c>
      <c r="B13" s="89"/>
      <c r="C13" s="89"/>
      <c r="D13" s="89"/>
      <c r="E13" s="89"/>
      <c r="F13" s="89"/>
      <c r="G13" s="89"/>
      <c r="H13" s="89"/>
      <c r="I13" s="89"/>
      <c r="J13" s="88"/>
    </row>
    <row r="14" spans="1:26" ht="12.75" customHeight="1" x14ac:dyDescent="0.2"/>
    <row r="15" spans="1:26" ht="75" customHeight="1" x14ac:dyDescent="0.2">
      <c r="A15" s="90" t="s">
        <v>206</v>
      </c>
      <c r="B15" s="89"/>
      <c r="C15" s="89"/>
      <c r="D15" s="89"/>
      <c r="E15" s="89"/>
      <c r="F15" s="89"/>
      <c r="G15" s="89"/>
      <c r="H15" s="89"/>
      <c r="I15" s="89"/>
      <c r="J15" s="88"/>
    </row>
    <row r="16" spans="1:26" ht="12.75" customHeight="1" x14ac:dyDescent="0.2"/>
    <row r="17" spans="4:7" ht="12.75" customHeight="1" x14ac:dyDescent="0.2"/>
    <row r="18" spans="4:7" ht="12.75" customHeight="1" x14ac:dyDescent="0.2"/>
    <row r="19" spans="4:7" ht="12.75" customHeight="1" x14ac:dyDescent="0.2"/>
    <row r="20" spans="4:7" ht="12.75" customHeight="1" x14ac:dyDescent="0.2"/>
    <row r="21" spans="4:7" ht="12.75" customHeight="1" x14ac:dyDescent="0.2"/>
    <row r="22" spans="4:7" ht="12.75" customHeight="1" x14ac:dyDescent="0.2"/>
    <row r="23" spans="4:7" ht="12.75" customHeight="1" x14ac:dyDescent="0.2"/>
    <row r="24" spans="4:7" ht="12.75" customHeight="1" x14ac:dyDescent="0.2"/>
    <row r="25" spans="4:7" ht="12.75" customHeight="1" x14ac:dyDescent="0.2"/>
    <row r="26" spans="4:7" ht="12.75" customHeight="1" x14ac:dyDescent="0.2">
      <c r="D26" s="56"/>
      <c r="E26" s="56"/>
      <c r="F26" s="55"/>
      <c r="G26" s="55"/>
    </row>
    <row r="27" spans="4:7" ht="12.75" customHeight="1" x14ac:dyDescent="0.2"/>
    <row r="28" spans="4:7" ht="12.75" customHeight="1" x14ac:dyDescent="0.2"/>
    <row r="29" spans="4:7" ht="12.75" customHeight="1" x14ac:dyDescent="0.2"/>
    <row r="30" spans="4:7" ht="12.75" customHeight="1" x14ac:dyDescent="0.2"/>
    <row r="31" spans="4:7" ht="12.75" customHeight="1" x14ac:dyDescent="0.2"/>
    <row r="32" spans="4:7"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D2:H2"/>
    <mergeCell ref="A5:J5"/>
    <mergeCell ref="A13:J13"/>
    <mergeCell ref="A15:J15"/>
  </mergeCell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topLeftCell="A4" workbookViewId="0">
      <selection activeCell="B9" sqref="B9:L9"/>
    </sheetView>
  </sheetViews>
  <sheetFormatPr baseColWidth="10" defaultColWidth="12.5703125" defaultRowHeight="15" customHeight="1" x14ac:dyDescent="0.2"/>
  <cols>
    <col min="1" max="3" width="19.140625" customWidth="1"/>
    <col min="4" max="4" width="21.85546875" customWidth="1"/>
    <col min="5" max="5" width="32.7109375" customWidth="1"/>
    <col min="6" max="6" width="17" customWidth="1"/>
    <col min="7" max="7" width="18" customWidth="1"/>
    <col min="8" max="8" width="17" customWidth="1"/>
    <col min="9" max="10" width="19.140625" customWidth="1"/>
    <col min="11" max="11" width="21.7109375" customWidth="1"/>
    <col min="12" max="12" width="20.7109375" customWidth="1"/>
    <col min="13" max="26" width="10" customWidth="1"/>
  </cols>
  <sheetData>
    <row r="1" spans="1:26" ht="12.75" customHeight="1" x14ac:dyDescent="0.25">
      <c r="A1" s="10"/>
      <c r="B1" s="11"/>
      <c r="C1" s="11"/>
      <c r="D1" s="11"/>
      <c r="E1" s="11"/>
      <c r="F1" s="11"/>
      <c r="G1" s="11"/>
      <c r="H1" s="11"/>
      <c r="I1" s="11"/>
      <c r="J1" s="11"/>
      <c r="K1" s="11"/>
      <c r="L1" s="11"/>
    </row>
    <row r="2" spans="1:26" ht="27.75" customHeight="1" x14ac:dyDescent="0.2">
      <c r="A2" s="30" t="s">
        <v>96</v>
      </c>
      <c r="B2" s="30"/>
      <c r="C2" s="30"/>
      <c r="D2" s="30"/>
      <c r="E2" s="30"/>
      <c r="F2" s="30"/>
      <c r="G2" s="30"/>
      <c r="H2" s="30"/>
      <c r="I2" s="30"/>
      <c r="J2" s="30"/>
      <c r="K2" s="30"/>
      <c r="L2" s="30"/>
    </row>
    <row r="3" spans="1:26" ht="12.75" customHeight="1" x14ac:dyDescent="0.25">
      <c r="A3" s="11"/>
      <c r="B3" s="11"/>
      <c r="C3" s="11"/>
      <c r="D3" s="11"/>
      <c r="E3" s="11"/>
      <c r="F3" s="11"/>
      <c r="G3" s="11"/>
      <c r="H3" s="11"/>
      <c r="I3" s="11"/>
      <c r="J3" s="11"/>
      <c r="K3" s="11"/>
      <c r="L3" s="11"/>
    </row>
    <row r="4" spans="1:26" ht="12.75" customHeight="1" x14ac:dyDescent="0.25">
      <c r="A4" s="11"/>
      <c r="B4" s="11"/>
      <c r="C4" s="11"/>
      <c r="D4" s="11"/>
      <c r="E4" s="11"/>
      <c r="F4" s="11"/>
      <c r="G4" s="11"/>
      <c r="H4" s="11"/>
      <c r="I4" s="11"/>
      <c r="J4" s="11"/>
      <c r="K4" s="11"/>
      <c r="L4" s="11"/>
    </row>
    <row r="5" spans="1:26" ht="43.5" customHeight="1" x14ac:dyDescent="0.2">
      <c r="A5" s="31" t="s">
        <v>1</v>
      </c>
      <c r="B5" s="31"/>
      <c r="C5" s="31"/>
      <c r="D5" s="31"/>
      <c r="E5" s="31"/>
      <c r="F5" s="31"/>
      <c r="G5" s="31"/>
      <c r="H5" s="31"/>
      <c r="I5" s="31"/>
      <c r="J5" s="31"/>
      <c r="K5" s="31"/>
      <c r="L5" s="31"/>
    </row>
    <row r="6" spans="1:26" ht="15.75" customHeight="1" x14ac:dyDescent="0.25">
      <c r="A6" s="11"/>
      <c r="B6" s="11"/>
      <c r="C6" s="11"/>
      <c r="D6" s="11"/>
      <c r="E6" s="11"/>
      <c r="F6" s="11"/>
      <c r="G6" s="11"/>
      <c r="H6" s="11"/>
      <c r="I6" s="11"/>
      <c r="J6" s="11"/>
      <c r="K6" s="11"/>
      <c r="L6" s="11"/>
    </row>
    <row r="7" spans="1:26" ht="75.75" customHeight="1" x14ac:dyDescent="0.2">
      <c r="A7" s="22" t="s">
        <v>2</v>
      </c>
      <c r="B7" s="16" t="s">
        <v>12</v>
      </c>
      <c r="C7" s="16" t="s">
        <v>13</v>
      </c>
      <c r="D7" s="16" t="s">
        <v>14</v>
      </c>
      <c r="E7" s="16" t="s">
        <v>15</v>
      </c>
      <c r="F7" s="16" t="s">
        <v>16</v>
      </c>
      <c r="G7" s="21" t="s">
        <v>21</v>
      </c>
      <c r="H7" s="24" t="s">
        <v>17</v>
      </c>
      <c r="I7" s="16" t="s">
        <v>18</v>
      </c>
      <c r="J7" s="16" t="s">
        <v>19</v>
      </c>
      <c r="K7" s="16" t="s">
        <v>22</v>
      </c>
      <c r="L7" s="16" t="s">
        <v>23</v>
      </c>
      <c r="M7" s="2"/>
      <c r="N7" s="2"/>
      <c r="O7" s="2"/>
      <c r="P7" s="2"/>
      <c r="Q7" s="2"/>
      <c r="R7" s="2"/>
      <c r="S7" s="2"/>
      <c r="T7" s="2"/>
      <c r="U7" s="2"/>
      <c r="V7" s="2"/>
      <c r="W7" s="2"/>
      <c r="X7" s="2"/>
      <c r="Y7" s="2"/>
      <c r="Z7" s="2"/>
    </row>
    <row r="8" spans="1:26" ht="115.5" customHeight="1" x14ac:dyDescent="0.2">
      <c r="A8" s="23" t="s">
        <v>3</v>
      </c>
      <c r="B8" s="17" t="s">
        <v>112</v>
      </c>
      <c r="C8" s="17" t="s">
        <v>113</v>
      </c>
      <c r="D8" s="17" t="s">
        <v>114</v>
      </c>
      <c r="E8" s="17" t="s">
        <v>115</v>
      </c>
      <c r="F8" s="18">
        <v>27310</v>
      </c>
      <c r="G8" s="18">
        <v>32.499000000000002</v>
      </c>
      <c r="H8" s="19">
        <v>8</v>
      </c>
      <c r="I8" s="17" t="s">
        <v>116</v>
      </c>
      <c r="J8" s="17" t="s">
        <v>63</v>
      </c>
      <c r="K8" s="17" t="s">
        <v>117</v>
      </c>
      <c r="L8" s="20" t="s">
        <v>118</v>
      </c>
    </row>
    <row r="9" spans="1:26" ht="115.5" customHeight="1" x14ac:dyDescent="0.2">
      <c r="A9" s="23" t="s">
        <v>4</v>
      </c>
      <c r="B9" s="17" t="s">
        <v>119</v>
      </c>
      <c r="C9" s="17" t="s">
        <v>120</v>
      </c>
      <c r="D9" s="17" t="s">
        <v>121</v>
      </c>
      <c r="E9" s="17" t="s">
        <v>122</v>
      </c>
      <c r="F9" s="18">
        <v>19000</v>
      </c>
      <c r="G9" s="18">
        <v>19</v>
      </c>
      <c r="H9" s="19">
        <v>4.7</v>
      </c>
      <c r="I9" s="17" t="s">
        <v>123</v>
      </c>
      <c r="J9" s="17" t="s">
        <v>124</v>
      </c>
      <c r="K9" s="17" t="s">
        <v>125</v>
      </c>
      <c r="L9" s="20" t="s">
        <v>126</v>
      </c>
    </row>
    <row r="10" spans="1:26" ht="115.5" customHeight="1" x14ac:dyDescent="0.2">
      <c r="A10" s="23" t="s">
        <v>5</v>
      </c>
      <c r="B10" s="17" t="s">
        <v>127</v>
      </c>
      <c r="C10" s="17" t="s">
        <v>128</v>
      </c>
      <c r="D10" s="17" t="s">
        <v>129</v>
      </c>
      <c r="E10" s="17" t="s">
        <v>130</v>
      </c>
      <c r="F10" s="18">
        <v>19000</v>
      </c>
      <c r="G10" s="18">
        <v>23.681000000000001</v>
      </c>
      <c r="H10" s="18">
        <v>5.8</v>
      </c>
      <c r="I10" s="17" t="s">
        <v>37</v>
      </c>
      <c r="J10" s="17" t="s">
        <v>71</v>
      </c>
      <c r="K10" s="17" t="s">
        <v>131</v>
      </c>
      <c r="L10" s="20" t="s">
        <v>132</v>
      </c>
    </row>
    <row r="11" spans="1:26" ht="80.25" hidden="1" customHeight="1" x14ac:dyDescent="0.25">
      <c r="A11" s="13"/>
      <c r="B11" s="14"/>
      <c r="C11" s="14"/>
      <c r="D11" s="14"/>
      <c r="E11" s="14"/>
      <c r="F11" s="14"/>
      <c r="G11" s="14"/>
      <c r="H11" s="14"/>
      <c r="I11" s="14"/>
      <c r="J11" s="14"/>
      <c r="K11" s="11"/>
      <c r="L11" s="11"/>
    </row>
    <row r="12" spans="1:26" ht="12.75" customHeight="1" x14ac:dyDescent="0.25">
      <c r="A12" s="11"/>
      <c r="B12" s="11"/>
      <c r="C12" s="11"/>
      <c r="D12" s="11"/>
      <c r="E12" s="11"/>
      <c r="F12" s="11"/>
      <c r="G12" s="11"/>
      <c r="H12" s="11"/>
      <c r="I12" s="11"/>
      <c r="J12" s="11"/>
      <c r="K12" s="11"/>
      <c r="L12" s="11"/>
    </row>
    <row r="13" spans="1:26" ht="138.75" customHeight="1" x14ac:dyDescent="0.25">
      <c r="A13" s="27" t="s">
        <v>7</v>
      </c>
      <c r="B13" s="28"/>
      <c r="C13" s="28"/>
      <c r="D13" s="28"/>
      <c r="E13" s="28"/>
      <c r="F13" s="28"/>
      <c r="G13" s="28"/>
      <c r="H13" s="28"/>
      <c r="I13" s="28"/>
      <c r="J13" s="29"/>
      <c r="K13" s="11"/>
      <c r="L13" s="11"/>
    </row>
    <row r="14" spans="1:26" ht="12.75" customHeight="1" x14ac:dyDescent="0.25">
      <c r="A14" s="11"/>
      <c r="B14" s="11"/>
      <c r="C14" s="11"/>
      <c r="D14" s="11"/>
      <c r="E14" s="11"/>
      <c r="F14" s="11"/>
      <c r="G14" s="11"/>
      <c r="H14" s="11"/>
      <c r="I14" s="11"/>
      <c r="J14" s="11"/>
      <c r="K14" s="11"/>
      <c r="L14" s="11"/>
    </row>
    <row r="15" spans="1:26" ht="75" customHeight="1" x14ac:dyDescent="0.25">
      <c r="A15" s="27" t="s">
        <v>8</v>
      </c>
      <c r="B15" s="28"/>
      <c r="C15" s="28"/>
      <c r="D15" s="28"/>
      <c r="E15" s="28"/>
      <c r="F15" s="28"/>
      <c r="G15" s="28"/>
      <c r="H15" s="28"/>
      <c r="I15" s="28"/>
      <c r="J15" s="29"/>
      <c r="K15" s="11"/>
      <c r="L15" s="11"/>
    </row>
    <row r="16" spans="1:26" ht="12.75" customHeight="1" x14ac:dyDescent="0.2"/>
    <row r="17" spans="4:7" ht="12.75" customHeight="1" x14ac:dyDescent="0.2"/>
    <row r="18" spans="4:7" ht="12.75" customHeight="1" x14ac:dyDescent="0.2"/>
    <row r="19" spans="4:7" ht="12.75" customHeight="1" x14ac:dyDescent="0.2"/>
    <row r="20" spans="4:7" ht="12.75" customHeight="1" x14ac:dyDescent="0.2"/>
    <row r="21" spans="4:7" ht="12.75" customHeight="1" x14ac:dyDescent="0.2"/>
    <row r="22" spans="4:7" ht="12.75" customHeight="1" x14ac:dyDescent="0.2"/>
    <row r="23" spans="4:7" ht="12.75" customHeight="1" x14ac:dyDescent="0.2"/>
    <row r="24" spans="4:7" ht="12.75" customHeight="1" x14ac:dyDescent="0.2"/>
    <row r="25" spans="4:7" ht="12.75" customHeight="1" x14ac:dyDescent="0.2"/>
    <row r="26" spans="4:7" ht="12.75" customHeight="1" x14ac:dyDescent="0.2">
      <c r="D26" s="3"/>
      <c r="E26" s="3"/>
      <c r="F26" s="1"/>
      <c r="G26" s="1"/>
    </row>
    <row r="27" spans="4:7" ht="12.75" customHeight="1" x14ac:dyDescent="0.2"/>
    <row r="28" spans="4:7" ht="12.75" customHeight="1" x14ac:dyDescent="0.2"/>
    <row r="29" spans="4:7" ht="12.75" customHeight="1" x14ac:dyDescent="0.2"/>
    <row r="30" spans="4:7" ht="12.75" customHeight="1" x14ac:dyDescent="0.2"/>
    <row r="31" spans="4:7" ht="12.75" customHeight="1" x14ac:dyDescent="0.2"/>
    <row r="32" spans="4:7"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13:J13"/>
    <mergeCell ref="A15:J15"/>
    <mergeCell ref="A2:L2"/>
    <mergeCell ref="A5:L5"/>
  </mergeCell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topLeftCell="A4" workbookViewId="0">
      <selection activeCell="B8" sqref="B8:L8"/>
    </sheetView>
  </sheetViews>
  <sheetFormatPr baseColWidth="10" defaultColWidth="12.5703125" defaultRowHeight="15" customHeight="1" x14ac:dyDescent="0.2"/>
  <cols>
    <col min="1" max="3" width="19.140625" customWidth="1"/>
    <col min="4" max="4" width="21.85546875" customWidth="1"/>
    <col min="5" max="5" width="30.7109375" customWidth="1"/>
    <col min="6" max="6" width="17" customWidth="1"/>
    <col min="7" max="7" width="18" customWidth="1"/>
    <col min="8" max="8" width="17" customWidth="1"/>
    <col min="9" max="10" width="19.140625" customWidth="1"/>
    <col min="11" max="11" width="24.7109375" customWidth="1"/>
    <col min="12" max="12" width="20.7109375" customWidth="1"/>
    <col min="13" max="26" width="10" customWidth="1"/>
  </cols>
  <sheetData>
    <row r="1" spans="1:26" ht="12.75" customHeight="1" x14ac:dyDescent="0.25">
      <c r="A1" s="10"/>
      <c r="B1" s="11"/>
      <c r="C1" s="11"/>
      <c r="D1" s="11"/>
      <c r="E1" s="11"/>
      <c r="F1" s="11"/>
      <c r="G1" s="11"/>
      <c r="H1" s="11"/>
      <c r="I1" s="11"/>
      <c r="J1" s="11"/>
      <c r="K1" s="11"/>
      <c r="L1" s="11"/>
    </row>
    <row r="2" spans="1:26" ht="27.75" customHeight="1" x14ac:dyDescent="0.2">
      <c r="A2" s="30" t="s">
        <v>95</v>
      </c>
      <c r="B2" s="30"/>
      <c r="C2" s="30"/>
      <c r="D2" s="30"/>
      <c r="E2" s="30"/>
      <c r="F2" s="30"/>
      <c r="G2" s="30"/>
      <c r="H2" s="30"/>
      <c r="I2" s="30"/>
      <c r="J2" s="30"/>
      <c r="K2" s="30"/>
      <c r="L2" s="30"/>
    </row>
    <row r="3" spans="1:26" ht="12.75" customHeight="1" x14ac:dyDescent="0.25">
      <c r="A3" s="11"/>
      <c r="B3" s="11"/>
      <c r="C3" s="11"/>
      <c r="D3" s="11"/>
      <c r="E3" s="11"/>
      <c r="F3" s="11"/>
      <c r="G3" s="11"/>
      <c r="H3" s="11"/>
      <c r="I3" s="11"/>
      <c r="J3" s="11"/>
      <c r="K3" s="11"/>
      <c r="L3" s="11"/>
    </row>
    <row r="4" spans="1:26" ht="12.75" customHeight="1" x14ac:dyDescent="0.25">
      <c r="A4" s="11"/>
      <c r="B4" s="11"/>
      <c r="C4" s="11"/>
      <c r="D4" s="11"/>
      <c r="E4" s="11"/>
      <c r="F4" s="11"/>
      <c r="G4" s="11"/>
      <c r="H4" s="11"/>
      <c r="I4" s="11"/>
      <c r="J4" s="11"/>
      <c r="K4" s="11"/>
      <c r="L4" s="11"/>
    </row>
    <row r="5" spans="1:26" ht="43.5" customHeight="1" x14ac:dyDescent="0.2">
      <c r="A5" s="31" t="s">
        <v>1</v>
      </c>
      <c r="B5" s="31"/>
      <c r="C5" s="31"/>
      <c r="D5" s="31"/>
      <c r="E5" s="31"/>
      <c r="F5" s="31"/>
      <c r="G5" s="31"/>
      <c r="H5" s="31"/>
      <c r="I5" s="31"/>
      <c r="J5" s="31"/>
      <c r="K5" s="31"/>
      <c r="L5" s="31"/>
    </row>
    <row r="6" spans="1:26" ht="15.75" customHeight="1" x14ac:dyDescent="0.25">
      <c r="A6" s="11"/>
      <c r="B6" s="11"/>
      <c r="C6" s="11"/>
      <c r="D6" s="11"/>
      <c r="E6" s="11"/>
      <c r="F6" s="11"/>
      <c r="G6" s="11"/>
      <c r="H6" s="11"/>
      <c r="I6" s="11"/>
      <c r="J6" s="11"/>
      <c r="K6" s="11"/>
      <c r="L6" s="11"/>
    </row>
    <row r="7" spans="1:26" ht="75.75" customHeight="1" x14ac:dyDescent="0.2">
      <c r="A7" s="22" t="s">
        <v>2</v>
      </c>
      <c r="B7" s="16" t="s">
        <v>12</v>
      </c>
      <c r="C7" s="16" t="s">
        <v>13</v>
      </c>
      <c r="D7" s="16" t="s">
        <v>14</v>
      </c>
      <c r="E7" s="16" t="s">
        <v>15</v>
      </c>
      <c r="F7" s="16" t="s">
        <v>16</v>
      </c>
      <c r="G7" s="21" t="s">
        <v>21</v>
      </c>
      <c r="H7" s="24" t="s">
        <v>17</v>
      </c>
      <c r="I7" s="16" t="s">
        <v>18</v>
      </c>
      <c r="J7" s="16" t="s">
        <v>19</v>
      </c>
      <c r="K7" s="16" t="s">
        <v>22</v>
      </c>
      <c r="L7" s="16" t="s">
        <v>23</v>
      </c>
      <c r="M7" s="2"/>
      <c r="N7" s="2"/>
      <c r="O7" s="2"/>
      <c r="P7" s="2"/>
      <c r="Q7" s="2"/>
      <c r="R7" s="2"/>
      <c r="S7" s="2"/>
      <c r="T7" s="2"/>
      <c r="U7" s="2"/>
      <c r="V7" s="2"/>
      <c r="W7" s="2"/>
      <c r="X7" s="2"/>
      <c r="Y7" s="2"/>
      <c r="Z7" s="2"/>
    </row>
    <row r="8" spans="1:26" ht="115.5" customHeight="1" x14ac:dyDescent="0.2">
      <c r="A8" s="23" t="s">
        <v>3</v>
      </c>
      <c r="B8" s="17" t="s">
        <v>97</v>
      </c>
      <c r="C8" s="17" t="s">
        <v>98</v>
      </c>
      <c r="D8" s="17" t="s">
        <v>99</v>
      </c>
      <c r="E8" s="17" t="s">
        <v>100</v>
      </c>
      <c r="F8" s="18">
        <v>69.3</v>
      </c>
      <c r="G8" s="18">
        <v>82.466999999999999</v>
      </c>
      <c r="H8" s="19">
        <v>20</v>
      </c>
      <c r="I8" s="17" t="s">
        <v>70</v>
      </c>
      <c r="J8" s="17" t="s">
        <v>63</v>
      </c>
      <c r="K8" s="17" t="s">
        <v>101</v>
      </c>
      <c r="L8" s="20" t="s">
        <v>102</v>
      </c>
    </row>
    <row r="9" spans="1:26" ht="115.5" customHeight="1" x14ac:dyDescent="0.2">
      <c r="A9" s="23" t="s">
        <v>4</v>
      </c>
      <c r="B9" s="17" t="s">
        <v>59</v>
      </c>
      <c r="C9" s="17" t="s">
        <v>60</v>
      </c>
      <c r="D9" s="17" t="s">
        <v>61</v>
      </c>
      <c r="E9" s="17" t="s">
        <v>103</v>
      </c>
      <c r="F9" s="18">
        <v>107.1</v>
      </c>
      <c r="G9" s="18">
        <v>127.449</v>
      </c>
      <c r="H9" s="19">
        <v>31</v>
      </c>
      <c r="I9" s="17" t="s">
        <v>55</v>
      </c>
      <c r="J9" s="17" t="s">
        <v>63</v>
      </c>
      <c r="K9" s="17" t="s">
        <v>104</v>
      </c>
      <c r="L9" s="20" t="s">
        <v>105</v>
      </c>
    </row>
    <row r="10" spans="1:26" ht="115.5" customHeight="1" x14ac:dyDescent="0.2">
      <c r="A10" s="23" t="s">
        <v>5</v>
      </c>
      <c r="B10" s="17" t="s">
        <v>106</v>
      </c>
      <c r="C10" s="17" t="s">
        <v>107</v>
      </c>
      <c r="D10" s="17" t="s">
        <v>42</v>
      </c>
      <c r="E10" s="17" t="s">
        <v>108</v>
      </c>
      <c r="F10" s="18">
        <v>169</v>
      </c>
      <c r="G10" s="18">
        <v>201.11</v>
      </c>
      <c r="H10" s="18">
        <v>49</v>
      </c>
      <c r="I10" s="17" t="s">
        <v>109</v>
      </c>
      <c r="J10" s="17" t="s">
        <v>71</v>
      </c>
      <c r="K10" s="17" t="s">
        <v>110</v>
      </c>
      <c r="L10" s="20" t="s">
        <v>111</v>
      </c>
    </row>
    <row r="11" spans="1:26" ht="78" hidden="1" customHeight="1" x14ac:dyDescent="0.25">
      <c r="A11" s="13"/>
      <c r="B11" s="14"/>
      <c r="C11" s="14"/>
      <c r="D11" s="14"/>
      <c r="E11" s="14"/>
      <c r="F11" s="14"/>
      <c r="G11" s="14"/>
      <c r="H11" s="14"/>
      <c r="I11" s="14"/>
      <c r="J11" s="14"/>
      <c r="K11" s="11"/>
      <c r="L11" s="11"/>
    </row>
    <row r="12" spans="1:26" ht="12.75" customHeight="1" x14ac:dyDescent="0.25">
      <c r="A12" s="11"/>
      <c r="B12" s="11"/>
      <c r="C12" s="11"/>
      <c r="D12" s="11"/>
      <c r="E12" s="11"/>
      <c r="F12" s="11"/>
      <c r="G12" s="11"/>
      <c r="H12" s="11"/>
      <c r="I12" s="11"/>
      <c r="J12" s="11"/>
      <c r="K12" s="11"/>
      <c r="L12" s="11"/>
    </row>
    <row r="13" spans="1:26" ht="138.75" customHeight="1" x14ac:dyDescent="0.25">
      <c r="A13" s="27" t="s">
        <v>7</v>
      </c>
      <c r="B13" s="28"/>
      <c r="C13" s="28"/>
      <c r="D13" s="28"/>
      <c r="E13" s="28"/>
      <c r="F13" s="28"/>
      <c r="G13" s="28"/>
      <c r="H13" s="28"/>
      <c r="I13" s="28"/>
      <c r="J13" s="29"/>
      <c r="K13" s="11"/>
      <c r="L13" s="11"/>
    </row>
    <row r="14" spans="1:26" ht="12.75" customHeight="1" x14ac:dyDescent="0.25">
      <c r="A14" s="11"/>
      <c r="B14" s="11"/>
      <c r="C14" s="11"/>
      <c r="D14" s="11"/>
      <c r="E14" s="11"/>
      <c r="F14" s="11"/>
      <c r="G14" s="11"/>
      <c r="H14" s="11"/>
      <c r="I14" s="11"/>
      <c r="J14" s="11"/>
      <c r="K14" s="11"/>
      <c r="L14" s="11"/>
    </row>
    <row r="15" spans="1:26" ht="75" customHeight="1" x14ac:dyDescent="0.25">
      <c r="A15" s="27" t="s">
        <v>8</v>
      </c>
      <c r="B15" s="28"/>
      <c r="C15" s="28"/>
      <c r="D15" s="28"/>
      <c r="E15" s="28"/>
      <c r="F15" s="28"/>
      <c r="G15" s="28"/>
      <c r="H15" s="28"/>
      <c r="I15" s="28"/>
      <c r="J15" s="29"/>
      <c r="K15" s="11"/>
      <c r="L15" s="11"/>
    </row>
    <row r="16" spans="1:26" ht="12.75" customHeight="1" x14ac:dyDescent="0.2"/>
    <row r="17" spans="4:7" ht="12.75" customHeight="1" x14ac:dyDescent="0.2"/>
    <row r="18" spans="4:7" ht="12.75" customHeight="1" x14ac:dyDescent="0.2"/>
    <row r="19" spans="4:7" ht="12.75" customHeight="1" x14ac:dyDescent="0.2"/>
    <row r="20" spans="4:7" ht="12.75" customHeight="1" x14ac:dyDescent="0.2"/>
    <row r="21" spans="4:7" ht="12.75" customHeight="1" x14ac:dyDescent="0.2"/>
    <row r="22" spans="4:7" ht="12.75" customHeight="1" x14ac:dyDescent="0.2"/>
    <row r="23" spans="4:7" ht="12.75" customHeight="1" x14ac:dyDescent="0.2"/>
    <row r="24" spans="4:7" ht="12.75" customHeight="1" x14ac:dyDescent="0.2"/>
    <row r="25" spans="4:7" ht="12.75" customHeight="1" x14ac:dyDescent="0.2"/>
    <row r="26" spans="4:7" ht="12.75" customHeight="1" x14ac:dyDescent="0.2">
      <c r="D26" s="3"/>
      <c r="E26" s="3"/>
      <c r="F26" s="1"/>
      <c r="G26" s="1"/>
    </row>
    <row r="27" spans="4:7" ht="12.75" customHeight="1" x14ac:dyDescent="0.2"/>
    <row r="28" spans="4:7" ht="12.75" customHeight="1" x14ac:dyDescent="0.2"/>
    <row r="29" spans="4:7" ht="12.75" customHeight="1" x14ac:dyDescent="0.2"/>
    <row r="30" spans="4:7" ht="12.75" customHeight="1" x14ac:dyDescent="0.2"/>
    <row r="31" spans="4:7" ht="12.75" customHeight="1" x14ac:dyDescent="0.2"/>
    <row r="32" spans="4:7"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4">
    <mergeCell ref="A13:J13"/>
    <mergeCell ref="A15:J15"/>
    <mergeCell ref="A2:L2"/>
    <mergeCell ref="A5:L5"/>
  </mergeCell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topLeftCell="A7" workbookViewId="0">
      <selection activeCell="B8" sqref="B8:L8"/>
    </sheetView>
  </sheetViews>
  <sheetFormatPr baseColWidth="10" defaultColWidth="12.5703125" defaultRowHeight="15" customHeight="1" x14ac:dyDescent="0.2"/>
  <cols>
    <col min="1" max="3" width="19.140625" customWidth="1"/>
    <col min="4" max="4" width="21.85546875" customWidth="1"/>
    <col min="5" max="5" width="30.7109375" customWidth="1"/>
    <col min="6" max="6" width="17" customWidth="1"/>
    <col min="7" max="7" width="18" customWidth="1"/>
    <col min="8" max="8" width="17" customWidth="1"/>
    <col min="9" max="10" width="19.140625" customWidth="1"/>
    <col min="11" max="12" width="20.7109375" customWidth="1"/>
    <col min="13" max="26" width="10" customWidth="1"/>
  </cols>
  <sheetData>
    <row r="1" spans="1:26" ht="12.75" customHeight="1" x14ac:dyDescent="0.25">
      <c r="A1" s="10"/>
      <c r="B1" s="11"/>
      <c r="C1" s="11"/>
      <c r="D1" s="11"/>
      <c r="E1" s="11"/>
      <c r="F1" s="11"/>
      <c r="G1" s="11"/>
      <c r="H1" s="11"/>
      <c r="I1" s="11"/>
      <c r="J1" s="11"/>
      <c r="K1" s="11"/>
      <c r="L1" s="11"/>
      <c r="M1" s="9"/>
      <c r="N1" s="9"/>
      <c r="O1" s="9"/>
    </row>
    <row r="2" spans="1:26" ht="27.75" customHeight="1" x14ac:dyDescent="0.2">
      <c r="A2" s="30" t="s">
        <v>74</v>
      </c>
      <c r="B2" s="30"/>
      <c r="C2" s="30"/>
      <c r="D2" s="30"/>
      <c r="E2" s="30"/>
      <c r="F2" s="30"/>
      <c r="G2" s="30"/>
      <c r="H2" s="30"/>
      <c r="I2" s="30"/>
      <c r="J2" s="30"/>
      <c r="K2" s="30"/>
      <c r="L2" s="30"/>
      <c r="M2" s="9"/>
      <c r="N2" s="9"/>
      <c r="O2" s="9"/>
    </row>
    <row r="3" spans="1:26" ht="12.75" customHeight="1" x14ac:dyDescent="0.25">
      <c r="A3" s="11"/>
      <c r="B3" s="11"/>
      <c r="C3" s="11"/>
      <c r="D3" s="11"/>
      <c r="E3" s="11"/>
      <c r="F3" s="11"/>
      <c r="G3" s="11"/>
      <c r="H3" s="11"/>
      <c r="I3" s="11"/>
      <c r="J3" s="11"/>
      <c r="K3" s="11"/>
      <c r="L3" s="11"/>
      <c r="M3" s="9"/>
      <c r="N3" s="9"/>
      <c r="O3" s="9"/>
    </row>
    <row r="4" spans="1:26" ht="12.75" customHeight="1" x14ac:dyDescent="0.25">
      <c r="A4" s="11"/>
      <c r="B4" s="11"/>
      <c r="C4" s="11"/>
      <c r="D4" s="11"/>
      <c r="E4" s="11"/>
      <c r="F4" s="11"/>
      <c r="G4" s="11"/>
      <c r="H4" s="11"/>
      <c r="I4" s="11"/>
      <c r="J4" s="11"/>
      <c r="K4" s="11"/>
      <c r="L4" s="11"/>
      <c r="M4" s="9"/>
      <c r="N4" s="9"/>
      <c r="O4" s="9"/>
    </row>
    <row r="5" spans="1:26" ht="43.5" customHeight="1" x14ac:dyDescent="0.2">
      <c r="A5" s="31" t="s">
        <v>1</v>
      </c>
      <c r="B5" s="31"/>
      <c r="C5" s="31"/>
      <c r="D5" s="31"/>
      <c r="E5" s="31"/>
      <c r="F5" s="31"/>
      <c r="G5" s="31"/>
      <c r="H5" s="31"/>
      <c r="I5" s="31"/>
      <c r="J5" s="31"/>
      <c r="K5" s="31"/>
      <c r="L5" s="31"/>
      <c r="M5" s="9"/>
      <c r="N5" s="9"/>
      <c r="O5" s="9"/>
    </row>
    <row r="6" spans="1:26" ht="15.75" customHeight="1" x14ac:dyDescent="0.25">
      <c r="A6" s="11"/>
      <c r="B6" s="11"/>
      <c r="C6" s="11"/>
      <c r="D6" s="11"/>
      <c r="E6" s="11"/>
      <c r="F6" s="11"/>
      <c r="G6" s="11"/>
      <c r="H6" s="11"/>
      <c r="I6" s="11"/>
      <c r="J6" s="11"/>
      <c r="K6" s="11"/>
      <c r="L6" s="11"/>
      <c r="M6" s="9"/>
      <c r="N6" s="9"/>
      <c r="O6" s="9"/>
    </row>
    <row r="7" spans="1:26" ht="75.75" customHeight="1" x14ac:dyDescent="0.2">
      <c r="A7" s="22" t="s">
        <v>2</v>
      </c>
      <c r="B7" s="16" t="s">
        <v>12</v>
      </c>
      <c r="C7" s="16" t="s">
        <v>13</v>
      </c>
      <c r="D7" s="16" t="s">
        <v>14</v>
      </c>
      <c r="E7" s="16" t="s">
        <v>15</v>
      </c>
      <c r="F7" s="16" t="s">
        <v>16</v>
      </c>
      <c r="G7" s="21" t="s">
        <v>21</v>
      </c>
      <c r="H7" s="24" t="s">
        <v>17</v>
      </c>
      <c r="I7" s="16" t="s">
        <v>18</v>
      </c>
      <c r="J7" s="16" t="s">
        <v>19</v>
      </c>
      <c r="K7" s="16" t="s">
        <v>22</v>
      </c>
      <c r="L7" s="16" t="s">
        <v>23</v>
      </c>
      <c r="M7" s="2"/>
      <c r="N7" s="2"/>
      <c r="O7" s="2"/>
      <c r="P7" s="2"/>
      <c r="Q7" s="2"/>
      <c r="R7" s="2"/>
      <c r="S7" s="2"/>
      <c r="T7" s="2"/>
      <c r="U7" s="2"/>
      <c r="V7" s="2"/>
      <c r="W7" s="2"/>
      <c r="X7" s="2"/>
      <c r="Y7" s="2"/>
      <c r="Z7" s="2"/>
    </row>
    <row r="8" spans="1:26" ht="115.5" customHeight="1" x14ac:dyDescent="0.2">
      <c r="A8" s="23" t="s">
        <v>3</v>
      </c>
      <c r="B8" s="17" t="s">
        <v>75</v>
      </c>
      <c r="C8" s="17" t="s">
        <v>76</v>
      </c>
      <c r="D8" s="17" t="s">
        <v>77</v>
      </c>
      <c r="E8" s="17" t="s">
        <v>78</v>
      </c>
      <c r="F8" s="18">
        <v>97.5</v>
      </c>
      <c r="G8" s="18">
        <v>116.02500000000001</v>
      </c>
      <c r="H8" s="19">
        <v>28</v>
      </c>
      <c r="I8" s="17" t="s">
        <v>79</v>
      </c>
      <c r="J8" s="17" t="s">
        <v>80</v>
      </c>
      <c r="K8" s="17" t="s">
        <v>81</v>
      </c>
      <c r="L8" s="20" t="s">
        <v>82</v>
      </c>
      <c r="M8" s="9"/>
      <c r="N8" s="9"/>
      <c r="O8" s="9"/>
    </row>
    <row r="9" spans="1:26" ht="114" customHeight="1" x14ac:dyDescent="0.2">
      <c r="A9" s="23" t="s">
        <v>4</v>
      </c>
      <c r="B9" s="17" t="s">
        <v>83</v>
      </c>
      <c r="C9" s="17" t="s">
        <v>84</v>
      </c>
      <c r="D9" s="17" t="s">
        <v>85</v>
      </c>
      <c r="E9" s="17" t="s">
        <v>86</v>
      </c>
      <c r="F9" s="18">
        <v>117</v>
      </c>
      <c r="G9" s="18">
        <v>139.22999999999999</v>
      </c>
      <c r="H9" s="19">
        <v>34</v>
      </c>
      <c r="I9" s="17" t="s">
        <v>55</v>
      </c>
      <c r="J9" s="17" t="s">
        <v>63</v>
      </c>
      <c r="K9" s="17" t="s">
        <v>87</v>
      </c>
      <c r="L9" s="20" t="s">
        <v>88</v>
      </c>
      <c r="M9" s="9"/>
      <c r="N9" s="9"/>
      <c r="O9" s="9"/>
    </row>
    <row r="10" spans="1:26" ht="116.25" customHeight="1" x14ac:dyDescent="0.2">
      <c r="A10" s="23" t="s">
        <v>5</v>
      </c>
      <c r="B10" s="17" t="s">
        <v>89</v>
      </c>
      <c r="C10" s="17" t="s">
        <v>90</v>
      </c>
      <c r="D10" s="17" t="s">
        <v>91</v>
      </c>
      <c r="E10" s="17" t="s">
        <v>92</v>
      </c>
      <c r="F10" s="18">
        <v>350</v>
      </c>
      <c r="G10" s="18">
        <v>416.5</v>
      </c>
      <c r="H10" s="18">
        <v>101</v>
      </c>
      <c r="I10" s="17" t="s">
        <v>70</v>
      </c>
      <c r="J10" s="17" t="s">
        <v>71</v>
      </c>
      <c r="K10" s="17" t="s">
        <v>93</v>
      </c>
      <c r="L10" s="20" t="s">
        <v>94</v>
      </c>
      <c r="M10" s="9"/>
      <c r="N10" s="9"/>
      <c r="O10" s="9"/>
    </row>
    <row r="11" spans="1:26" ht="23.25" hidden="1" customHeight="1" x14ac:dyDescent="0.25">
      <c r="A11" s="13"/>
      <c r="B11" s="14"/>
      <c r="C11" s="14"/>
      <c r="D11" s="14"/>
      <c r="E11" s="14"/>
      <c r="F11" s="14"/>
      <c r="G11" s="14"/>
      <c r="H11" s="14"/>
      <c r="I11" s="14"/>
      <c r="J11" s="14"/>
      <c r="K11" s="11"/>
      <c r="L11" s="11"/>
    </row>
    <row r="12" spans="1:26" ht="12.75" customHeight="1" x14ac:dyDescent="0.25">
      <c r="A12" s="11"/>
      <c r="B12" s="11"/>
      <c r="C12" s="11"/>
      <c r="D12" s="11"/>
      <c r="E12" s="11"/>
      <c r="F12" s="11"/>
      <c r="G12" s="11"/>
      <c r="H12" s="11"/>
      <c r="I12" s="11"/>
      <c r="J12" s="11"/>
      <c r="K12" s="11"/>
      <c r="L12" s="11"/>
    </row>
    <row r="13" spans="1:26" ht="138.75" customHeight="1" x14ac:dyDescent="0.25">
      <c r="A13" s="27" t="s">
        <v>7</v>
      </c>
      <c r="B13" s="28"/>
      <c r="C13" s="28"/>
      <c r="D13" s="28"/>
      <c r="E13" s="28"/>
      <c r="F13" s="28"/>
      <c r="G13" s="28"/>
      <c r="H13" s="28"/>
      <c r="I13" s="28"/>
      <c r="J13" s="29"/>
      <c r="K13" s="11"/>
      <c r="L13" s="11"/>
    </row>
    <row r="14" spans="1:26" ht="12.75" customHeight="1" x14ac:dyDescent="0.25">
      <c r="A14" s="11"/>
      <c r="B14" s="11"/>
      <c r="C14" s="11"/>
      <c r="D14" s="11"/>
      <c r="E14" s="11"/>
      <c r="F14" s="11"/>
      <c r="G14" s="11"/>
      <c r="H14" s="11"/>
      <c r="I14" s="11"/>
      <c r="J14" s="11"/>
      <c r="K14" s="11"/>
      <c r="L14" s="11"/>
    </row>
    <row r="15" spans="1:26" ht="75" customHeight="1" x14ac:dyDescent="0.25">
      <c r="A15" s="27" t="s">
        <v>8</v>
      </c>
      <c r="B15" s="28"/>
      <c r="C15" s="28"/>
      <c r="D15" s="28"/>
      <c r="E15" s="28"/>
      <c r="F15" s="28"/>
      <c r="G15" s="28"/>
      <c r="H15" s="28"/>
      <c r="I15" s="28"/>
      <c r="J15" s="29"/>
      <c r="K15" s="11"/>
      <c r="L15" s="11"/>
    </row>
    <row r="16" spans="1:26" ht="12.75" customHeight="1" x14ac:dyDescent="0.2"/>
    <row r="17" spans="4:7" ht="12.75" customHeight="1" x14ac:dyDescent="0.2"/>
    <row r="18" spans="4:7" ht="12.75" customHeight="1" x14ac:dyDescent="0.2"/>
    <row r="19" spans="4:7" ht="12.75" customHeight="1" x14ac:dyDescent="0.2"/>
    <row r="20" spans="4:7" ht="12.75" customHeight="1" x14ac:dyDescent="0.2"/>
    <row r="21" spans="4:7" ht="12.75" customHeight="1" x14ac:dyDescent="0.2"/>
    <row r="22" spans="4:7" ht="12.75" customHeight="1" x14ac:dyDescent="0.2"/>
    <row r="23" spans="4:7" ht="12.75" customHeight="1" x14ac:dyDescent="0.2"/>
    <row r="24" spans="4:7" ht="12.75" customHeight="1" x14ac:dyDescent="0.2"/>
    <row r="25" spans="4:7" ht="12.75" customHeight="1" x14ac:dyDescent="0.2"/>
    <row r="26" spans="4:7" ht="12.75" customHeight="1" x14ac:dyDescent="0.2">
      <c r="D26" s="3"/>
      <c r="E26" s="3"/>
      <c r="F26" s="1"/>
      <c r="G26" s="1"/>
    </row>
    <row r="27" spans="4:7" ht="12.75" customHeight="1" x14ac:dyDescent="0.2"/>
    <row r="28" spans="4:7" ht="12.75" customHeight="1" x14ac:dyDescent="0.2"/>
    <row r="29" spans="4:7" ht="12.75" customHeight="1" x14ac:dyDescent="0.2"/>
    <row r="30" spans="4:7" ht="12.75" customHeight="1" x14ac:dyDescent="0.2"/>
    <row r="31" spans="4:7" ht="12.75" customHeight="1" x14ac:dyDescent="0.2"/>
    <row r="32" spans="4:7"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4">
    <mergeCell ref="A2:L2"/>
    <mergeCell ref="A5:L5"/>
    <mergeCell ref="A13:J13"/>
    <mergeCell ref="A15:J15"/>
  </mergeCell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00"/>
  <sheetViews>
    <sheetView workbookViewId="0">
      <selection activeCell="B9" sqref="B9:L9"/>
    </sheetView>
  </sheetViews>
  <sheetFormatPr baseColWidth="10" defaultColWidth="12.5703125" defaultRowHeight="15" customHeight="1" x14ac:dyDescent="0.2"/>
  <cols>
    <col min="1" max="3" width="19.140625" customWidth="1"/>
    <col min="4" max="4" width="21.85546875" customWidth="1"/>
    <col min="5" max="5" width="29.7109375" customWidth="1"/>
    <col min="6" max="6" width="17" customWidth="1"/>
    <col min="7" max="7" width="18" customWidth="1"/>
    <col min="8" max="8" width="17" customWidth="1"/>
    <col min="9" max="10" width="19.140625" customWidth="1"/>
    <col min="11" max="11" width="20.7109375" customWidth="1"/>
    <col min="12" max="12" width="19.7109375" customWidth="1"/>
    <col min="13" max="26" width="10" customWidth="1"/>
  </cols>
  <sheetData>
    <row r="1" spans="1:26" ht="12.75" customHeight="1" x14ac:dyDescent="0.25">
      <c r="A1" s="10"/>
      <c r="B1" s="11"/>
      <c r="C1" s="11"/>
      <c r="D1" s="11"/>
      <c r="E1" s="11"/>
      <c r="F1" s="11"/>
      <c r="G1" s="11"/>
      <c r="H1" s="11"/>
      <c r="I1" s="11"/>
      <c r="J1" s="11"/>
      <c r="K1" s="11"/>
      <c r="L1" s="11"/>
      <c r="M1" s="9"/>
      <c r="N1" s="9"/>
      <c r="O1" s="9"/>
    </row>
    <row r="2" spans="1:26" ht="27.75" customHeight="1" x14ac:dyDescent="0.2">
      <c r="A2" s="30" t="s">
        <v>50</v>
      </c>
      <c r="B2" s="30"/>
      <c r="C2" s="30"/>
      <c r="D2" s="30"/>
      <c r="E2" s="30"/>
      <c r="F2" s="30"/>
      <c r="G2" s="30"/>
      <c r="H2" s="30"/>
      <c r="I2" s="30"/>
      <c r="J2" s="30"/>
      <c r="K2" s="30"/>
      <c r="L2" s="30"/>
      <c r="M2" s="9"/>
      <c r="N2" s="9"/>
      <c r="O2" s="9"/>
    </row>
    <row r="3" spans="1:26" ht="12.75" customHeight="1" x14ac:dyDescent="0.25">
      <c r="A3" s="11"/>
      <c r="B3" s="11"/>
      <c r="C3" s="11"/>
      <c r="D3" s="11"/>
      <c r="E3" s="11"/>
      <c r="F3" s="11"/>
      <c r="G3" s="11"/>
      <c r="H3" s="11"/>
      <c r="I3" s="11"/>
      <c r="J3" s="11"/>
      <c r="K3" s="11"/>
      <c r="L3" s="11"/>
      <c r="M3" s="9"/>
      <c r="N3" s="9"/>
      <c r="O3" s="9"/>
    </row>
    <row r="4" spans="1:26" ht="12.75" customHeight="1" x14ac:dyDescent="0.25">
      <c r="A4" s="11"/>
      <c r="B4" s="11"/>
      <c r="C4" s="11"/>
      <c r="D4" s="11"/>
      <c r="E4" s="11"/>
      <c r="F4" s="11"/>
      <c r="G4" s="11"/>
      <c r="H4" s="11"/>
      <c r="I4" s="11"/>
      <c r="J4" s="11"/>
      <c r="K4" s="11"/>
      <c r="L4" s="11"/>
      <c r="M4" s="9"/>
      <c r="N4" s="9"/>
      <c r="O4" s="9"/>
    </row>
    <row r="5" spans="1:26" ht="43.5" customHeight="1" x14ac:dyDescent="0.2">
      <c r="A5" s="31" t="s">
        <v>1</v>
      </c>
      <c r="B5" s="31"/>
      <c r="C5" s="31"/>
      <c r="D5" s="31"/>
      <c r="E5" s="31"/>
      <c r="F5" s="31"/>
      <c r="G5" s="31"/>
      <c r="H5" s="31"/>
      <c r="I5" s="31"/>
      <c r="J5" s="31"/>
      <c r="K5" s="31"/>
      <c r="L5" s="31"/>
      <c r="M5" s="9"/>
      <c r="N5" s="9"/>
      <c r="O5" s="9"/>
    </row>
    <row r="6" spans="1:26" ht="15.75" customHeight="1" x14ac:dyDescent="0.25">
      <c r="A6" s="11"/>
      <c r="B6" s="11"/>
      <c r="C6" s="11"/>
      <c r="D6" s="11"/>
      <c r="E6" s="11"/>
      <c r="F6" s="11"/>
      <c r="G6" s="11"/>
      <c r="H6" s="11"/>
      <c r="I6" s="11"/>
      <c r="J6" s="11"/>
      <c r="K6" s="11"/>
      <c r="L6" s="11"/>
      <c r="M6" s="9"/>
      <c r="N6" s="9"/>
      <c r="O6" s="9"/>
    </row>
    <row r="7" spans="1:26" ht="75.75" customHeight="1" x14ac:dyDescent="0.2">
      <c r="A7" s="22" t="s">
        <v>2</v>
      </c>
      <c r="B7" s="16" t="s">
        <v>12</v>
      </c>
      <c r="C7" s="16" t="s">
        <v>13</v>
      </c>
      <c r="D7" s="16" t="s">
        <v>14</v>
      </c>
      <c r="E7" s="16" t="s">
        <v>15</v>
      </c>
      <c r="F7" s="16" t="s">
        <v>16</v>
      </c>
      <c r="G7" s="21" t="s">
        <v>21</v>
      </c>
      <c r="H7" s="24" t="s">
        <v>17</v>
      </c>
      <c r="I7" s="16" t="s">
        <v>18</v>
      </c>
      <c r="J7" s="16" t="s">
        <v>19</v>
      </c>
      <c r="K7" s="16" t="s">
        <v>22</v>
      </c>
      <c r="L7" s="16" t="s">
        <v>23</v>
      </c>
      <c r="M7" s="2"/>
      <c r="N7" s="2"/>
      <c r="O7" s="2"/>
      <c r="P7" s="2"/>
      <c r="Q7" s="2"/>
      <c r="R7" s="2"/>
      <c r="S7" s="2"/>
      <c r="T7" s="2"/>
      <c r="U7" s="2"/>
      <c r="V7" s="2"/>
      <c r="W7" s="2"/>
      <c r="X7" s="2"/>
      <c r="Y7" s="2"/>
      <c r="Z7" s="2"/>
    </row>
    <row r="8" spans="1:26" ht="115.5" customHeight="1" x14ac:dyDescent="0.2">
      <c r="A8" s="23" t="s">
        <v>3</v>
      </c>
      <c r="B8" s="17" t="s">
        <v>51</v>
      </c>
      <c r="C8" s="17" t="s">
        <v>52</v>
      </c>
      <c r="D8" s="17" t="s">
        <v>53</v>
      </c>
      <c r="E8" s="17" t="s">
        <v>54</v>
      </c>
      <c r="F8" s="18">
        <v>45</v>
      </c>
      <c r="G8" s="18">
        <v>53.55</v>
      </c>
      <c r="H8" s="19">
        <v>13</v>
      </c>
      <c r="I8" s="17" t="s">
        <v>55</v>
      </c>
      <c r="J8" s="17" t="s">
        <v>56</v>
      </c>
      <c r="K8" s="17" t="s">
        <v>57</v>
      </c>
      <c r="L8" s="20" t="s">
        <v>58</v>
      </c>
      <c r="M8" s="9"/>
      <c r="N8" s="9"/>
      <c r="O8" s="9"/>
    </row>
    <row r="9" spans="1:26" ht="115.5" customHeight="1" x14ac:dyDescent="0.2">
      <c r="A9" s="23" t="s">
        <v>4</v>
      </c>
      <c r="B9" s="17" t="s">
        <v>59</v>
      </c>
      <c r="C9" s="17" t="s">
        <v>60</v>
      </c>
      <c r="D9" s="17" t="s">
        <v>61</v>
      </c>
      <c r="E9" s="17" t="s">
        <v>62</v>
      </c>
      <c r="F9" s="18">
        <v>49.98</v>
      </c>
      <c r="G9" s="18">
        <v>49.98</v>
      </c>
      <c r="H9" s="19">
        <v>12</v>
      </c>
      <c r="I9" s="17" t="s">
        <v>28</v>
      </c>
      <c r="J9" s="17" t="s">
        <v>63</v>
      </c>
      <c r="K9" s="17" t="s">
        <v>64</v>
      </c>
      <c r="L9" s="20" t="s">
        <v>65</v>
      </c>
      <c r="M9" s="9"/>
      <c r="N9" s="9"/>
      <c r="O9" s="9"/>
    </row>
    <row r="10" spans="1:26" ht="115.5" customHeight="1" x14ac:dyDescent="0.2">
      <c r="A10" s="23" t="s">
        <v>5</v>
      </c>
      <c r="B10" s="17" t="s">
        <v>66</v>
      </c>
      <c r="C10" s="17" t="s">
        <v>67</v>
      </c>
      <c r="D10" s="17" t="s">
        <v>68</v>
      </c>
      <c r="E10" s="17" t="s">
        <v>69</v>
      </c>
      <c r="F10" s="18">
        <v>260</v>
      </c>
      <c r="G10" s="18">
        <v>309.39999999999998</v>
      </c>
      <c r="H10" s="18">
        <v>75</v>
      </c>
      <c r="I10" s="17" t="s">
        <v>70</v>
      </c>
      <c r="J10" s="17" t="s">
        <v>71</v>
      </c>
      <c r="K10" s="17" t="s">
        <v>72</v>
      </c>
      <c r="L10" s="20" t="s">
        <v>73</v>
      </c>
      <c r="M10" s="9"/>
      <c r="N10" s="9"/>
      <c r="O10" s="9"/>
    </row>
    <row r="11" spans="1:26" ht="15" hidden="1" customHeight="1" x14ac:dyDescent="0.25">
      <c r="A11" s="13"/>
      <c r="B11" s="14"/>
      <c r="C11" s="14"/>
      <c r="D11" s="14"/>
      <c r="E11" s="14"/>
      <c r="F11" s="14"/>
      <c r="G11" s="14"/>
      <c r="H11" s="14"/>
      <c r="I11" s="14"/>
      <c r="J11" s="14"/>
      <c r="K11" s="11"/>
      <c r="L11" s="11"/>
    </row>
    <row r="12" spans="1:26" ht="12.75" customHeight="1" x14ac:dyDescent="0.25">
      <c r="A12" s="11"/>
      <c r="B12" s="11"/>
      <c r="C12" s="11"/>
      <c r="D12" s="11"/>
      <c r="E12" s="11"/>
      <c r="F12" s="11"/>
      <c r="G12" s="11"/>
      <c r="H12" s="11"/>
      <c r="I12" s="11"/>
      <c r="J12" s="11"/>
      <c r="K12" s="11"/>
      <c r="L12" s="11"/>
    </row>
    <row r="13" spans="1:26" ht="138.75" customHeight="1" x14ac:dyDescent="0.25">
      <c r="A13" s="27" t="s">
        <v>7</v>
      </c>
      <c r="B13" s="28"/>
      <c r="C13" s="28"/>
      <c r="D13" s="28"/>
      <c r="E13" s="28"/>
      <c r="F13" s="28"/>
      <c r="G13" s="28"/>
      <c r="H13" s="28"/>
      <c r="I13" s="28"/>
      <c r="J13" s="29"/>
      <c r="K13" s="11"/>
      <c r="L13" s="11"/>
    </row>
    <row r="14" spans="1:26" ht="12.75" customHeight="1" x14ac:dyDescent="0.25">
      <c r="A14" s="11"/>
      <c r="B14" s="11"/>
      <c r="C14" s="11"/>
      <c r="D14" s="11"/>
      <c r="E14" s="11"/>
      <c r="F14" s="11"/>
      <c r="G14" s="11"/>
      <c r="H14" s="11"/>
      <c r="I14" s="11"/>
      <c r="J14" s="11"/>
      <c r="K14" s="11"/>
      <c r="L14" s="11"/>
    </row>
    <row r="15" spans="1:26" ht="75" customHeight="1" x14ac:dyDescent="0.25">
      <c r="A15" s="27" t="s">
        <v>8</v>
      </c>
      <c r="B15" s="28"/>
      <c r="C15" s="28"/>
      <c r="D15" s="28"/>
      <c r="E15" s="28"/>
      <c r="F15" s="28"/>
      <c r="G15" s="28"/>
      <c r="H15" s="28"/>
      <c r="I15" s="28"/>
      <c r="J15" s="29"/>
      <c r="K15" s="11"/>
      <c r="L15" s="11"/>
    </row>
    <row r="16" spans="1:26" ht="12.75" customHeight="1" x14ac:dyDescent="0.2"/>
    <row r="17" spans="4:7" ht="12.75" customHeight="1" x14ac:dyDescent="0.2"/>
    <row r="18" spans="4:7" ht="12.75" customHeight="1" x14ac:dyDescent="0.2"/>
    <row r="19" spans="4:7" ht="12.75" customHeight="1" x14ac:dyDescent="0.2"/>
    <row r="20" spans="4:7" ht="12.75" customHeight="1" x14ac:dyDescent="0.2"/>
    <row r="21" spans="4:7" ht="12.75" customHeight="1" x14ac:dyDescent="0.2"/>
    <row r="22" spans="4:7" ht="12.75" customHeight="1" x14ac:dyDescent="0.2"/>
    <row r="23" spans="4:7" ht="12.75" customHeight="1" x14ac:dyDescent="0.2"/>
    <row r="24" spans="4:7" ht="12.75" customHeight="1" x14ac:dyDescent="0.2"/>
    <row r="25" spans="4:7" ht="12.75" customHeight="1" x14ac:dyDescent="0.2"/>
    <row r="26" spans="4:7" ht="12.75" customHeight="1" x14ac:dyDescent="0.2">
      <c r="D26" s="3"/>
      <c r="E26" s="3"/>
      <c r="F26" s="1"/>
      <c r="G26" s="1"/>
    </row>
    <row r="27" spans="4:7" ht="12.75" customHeight="1" x14ac:dyDescent="0.2"/>
    <row r="28" spans="4:7" ht="12.75" customHeight="1" x14ac:dyDescent="0.2"/>
    <row r="29" spans="4:7" ht="12.75" customHeight="1" x14ac:dyDescent="0.2"/>
    <row r="30" spans="4:7" ht="12.75" customHeight="1" x14ac:dyDescent="0.2"/>
    <row r="31" spans="4:7" ht="12.75" customHeight="1" x14ac:dyDescent="0.2"/>
    <row r="32" spans="4:7"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4">
    <mergeCell ref="A2:L2"/>
    <mergeCell ref="A5:L5"/>
    <mergeCell ref="A13:J13"/>
    <mergeCell ref="A15:J15"/>
  </mergeCell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0"/>
  <sheetViews>
    <sheetView zoomScale="85" zoomScaleNormal="85" workbookViewId="0">
      <selection activeCell="B8" sqref="B8:L8"/>
    </sheetView>
  </sheetViews>
  <sheetFormatPr baseColWidth="10" defaultColWidth="12.5703125" defaultRowHeight="15" customHeight="1" x14ac:dyDescent="0.2"/>
  <cols>
    <col min="1" max="1" width="19.140625" customWidth="1"/>
    <col min="2" max="3" width="20.7109375" customWidth="1"/>
    <col min="4" max="4" width="25.7109375" customWidth="1"/>
    <col min="5" max="5" width="29.7109375" customWidth="1"/>
    <col min="6" max="9" width="20.7109375" customWidth="1"/>
    <col min="10" max="10" width="25.7109375" customWidth="1"/>
    <col min="11" max="12" width="20.7109375" customWidth="1"/>
    <col min="13" max="26" width="10" customWidth="1"/>
  </cols>
  <sheetData>
    <row r="1" spans="1:26" ht="12.75" customHeight="1" x14ac:dyDescent="0.25">
      <c r="A1" s="10"/>
      <c r="B1" s="11"/>
      <c r="C1" s="11"/>
      <c r="D1" s="11"/>
      <c r="E1" s="11"/>
      <c r="F1" s="11"/>
      <c r="G1" s="11"/>
      <c r="H1" s="11"/>
      <c r="I1" s="11"/>
      <c r="J1" s="11"/>
      <c r="K1" s="11"/>
      <c r="L1" s="11"/>
      <c r="M1" s="11"/>
    </row>
    <row r="2" spans="1:26" ht="27.75" customHeight="1" x14ac:dyDescent="0.25">
      <c r="A2" s="30" t="s">
        <v>48</v>
      </c>
      <c r="B2" s="30"/>
      <c r="C2" s="30"/>
      <c r="D2" s="30"/>
      <c r="E2" s="30"/>
      <c r="F2" s="30"/>
      <c r="G2" s="30"/>
      <c r="H2" s="30"/>
      <c r="I2" s="30"/>
      <c r="J2" s="30"/>
      <c r="K2" s="30"/>
      <c r="L2" s="30"/>
      <c r="M2" s="11"/>
    </row>
    <row r="3" spans="1:26" ht="12.75" customHeight="1" x14ac:dyDescent="0.25">
      <c r="A3" s="11"/>
      <c r="B3" s="11"/>
      <c r="C3" s="11"/>
      <c r="D3" s="11"/>
      <c r="E3" s="11"/>
      <c r="F3" s="11"/>
      <c r="G3" s="11"/>
      <c r="H3" s="11"/>
      <c r="I3" s="11"/>
      <c r="J3" s="11"/>
      <c r="K3" s="11"/>
      <c r="L3" s="11"/>
      <c r="M3" s="11"/>
    </row>
    <row r="4" spans="1:26" ht="12.75" customHeight="1" x14ac:dyDescent="0.25">
      <c r="A4" s="11"/>
      <c r="B4" s="11"/>
      <c r="C4" s="11"/>
      <c r="D4" s="11"/>
      <c r="E4" s="11"/>
      <c r="F4" s="11"/>
      <c r="G4" s="11"/>
      <c r="H4" s="11"/>
      <c r="I4" s="11"/>
      <c r="J4" s="11"/>
      <c r="K4" s="11"/>
      <c r="L4" s="11"/>
      <c r="M4" s="11"/>
    </row>
    <row r="5" spans="1:26" ht="43.5" customHeight="1" x14ac:dyDescent="0.25">
      <c r="A5" s="31" t="s">
        <v>1</v>
      </c>
      <c r="B5" s="31"/>
      <c r="C5" s="31"/>
      <c r="D5" s="31"/>
      <c r="E5" s="31"/>
      <c r="F5" s="31"/>
      <c r="G5" s="31"/>
      <c r="H5" s="31"/>
      <c r="I5" s="31"/>
      <c r="J5" s="31"/>
      <c r="K5" s="31"/>
      <c r="L5" s="31"/>
      <c r="M5" s="11"/>
    </row>
    <row r="6" spans="1:26" ht="15.75" customHeight="1" x14ac:dyDescent="0.25">
      <c r="A6" s="11"/>
      <c r="B6" s="11"/>
      <c r="C6" s="11"/>
      <c r="D6" s="11"/>
      <c r="E6" s="11"/>
      <c r="F6" s="11"/>
      <c r="G6" s="11"/>
      <c r="H6" s="11"/>
      <c r="I6" s="11"/>
      <c r="J6" s="11"/>
      <c r="K6" s="11"/>
      <c r="L6" s="11"/>
      <c r="M6" s="11"/>
    </row>
    <row r="7" spans="1:26" ht="75.75" customHeight="1" x14ac:dyDescent="0.2">
      <c r="A7" s="22" t="s">
        <v>2</v>
      </c>
      <c r="B7" s="16" t="s">
        <v>12</v>
      </c>
      <c r="C7" s="16" t="s">
        <v>13</v>
      </c>
      <c r="D7" s="16" t="s">
        <v>14</v>
      </c>
      <c r="E7" s="16" t="s">
        <v>15</v>
      </c>
      <c r="F7" s="16" t="s">
        <v>16</v>
      </c>
      <c r="G7" s="21" t="s">
        <v>21</v>
      </c>
      <c r="H7" s="24" t="s">
        <v>17</v>
      </c>
      <c r="I7" s="16" t="s">
        <v>18</v>
      </c>
      <c r="J7" s="16" t="s">
        <v>19</v>
      </c>
      <c r="K7" s="16" t="s">
        <v>22</v>
      </c>
      <c r="L7" s="16" t="s">
        <v>23</v>
      </c>
      <c r="M7" s="12"/>
      <c r="N7" s="2"/>
      <c r="O7" s="2"/>
      <c r="P7" s="2"/>
      <c r="Q7" s="2"/>
      <c r="R7" s="2"/>
      <c r="S7" s="2"/>
      <c r="T7" s="2"/>
      <c r="U7" s="2"/>
      <c r="V7" s="2"/>
      <c r="W7" s="2"/>
      <c r="X7" s="2"/>
      <c r="Y7" s="2"/>
      <c r="Z7" s="2"/>
    </row>
    <row r="8" spans="1:26" ht="115.5" customHeight="1" x14ac:dyDescent="0.25">
      <c r="A8" s="23" t="s">
        <v>3</v>
      </c>
      <c r="B8" s="17" t="s">
        <v>24</v>
      </c>
      <c r="C8" s="17" t="s">
        <v>25</v>
      </c>
      <c r="D8" s="17" t="s">
        <v>26</v>
      </c>
      <c r="E8" s="17" t="s">
        <v>27</v>
      </c>
      <c r="F8" s="18">
        <v>618</v>
      </c>
      <c r="G8" s="18">
        <v>735.42</v>
      </c>
      <c r="H8" s="19">
        <v>180</v>
      </c>
      <c r="I8" s="17" t="s">
        <v>28</v>
      </c>
      <c r="J8" s="17" t="s">
        <v>29</v>
      </c>
      <c r="K8" s="17" t="s">
        <v>30</v>
      </c>
      <c r="L8" s="20" t="s">
        <v>31</v>
      </c>
      <c r="M8" s="11"/>
    </row>
    <row r="9" spans="1:26" ht="115.5" customHeight="1" x14ac:dyDescent="0.25">
      <c r="A9" s="23" t="s">
        <v>4</v>
      </c>
      <c r="B9" s="17" t="s">
        <v>32</v>
      </c>
      <c r="C9" s="17" t="s">
        <v>33</v>
      </c>
      <c r="D9" s="17" t="s">
        <v>34</v>
      </c>
      <c r="E9" s="17" t="s">
        <v>35</v>
      </c>
      <c r="F9" s="18">
        <v>890</v>
      </c>
      <c r="G9" s="17" t="s">
        <v>36</v>
      </c>
      <c r="H9" s="19">
        <v>260</v>
      </c>
      <c r="I9" s="17" t="s">
        <v>37</v>
      </c>
      <c r="J9" s="17" t="s">
        <v>20</v>
      </c>
      <c r="K9" s="17" t="s">
        <v>38</v>
      </c>
      <c r="L9" s="20" t="s">
        <v>39</v>
      </c>
      <c r="M9" s="11"/>
    </row>
    <row r="10" spans="1:26" ht="115.5" customHeight="1" x14ac:dyDescent="0.25">
      <c r="A10" s="23" t="s">
        <v>5</v>
      </c>
      <c r="B10" s="17" t="s">
        <v>40</v>
      </c>
      <c r="C10" s="17" t="s">
        <v>41</v>
      </c>
      <c r="D10" s="17" t="s">
        <v>42</v>
      </c>
      <c r="E10" s="17" t="s">
        <v>43</v>
      </c>
      <c r="F10" s="17" t="s">
        <v>44</v>
      </c>
      <c r="G10" s="17" t="s">
        <v>45</v>
      </c>
      <c r="H10" s="18">
        <v>241</v>
      </c>
      <c r="I10" s="17" t="s">
        <v>28</v>
      </c>
      <c r="J10" s="17" t="s">
        <v>49</v>
      </c>
      <c r="K10" s="17" t="s">
        <v>46</v>
      </c>
      <c r="L10" s="20" t="s">
        <v>47</v>
      </c>
      <c r="M10" s="11"/>
    </row>
    <row r="11" spans="1:26" ht="15" hidden="1" customHeight="1" x14ac:dyDescent="0.25">
      <c r="A11" s="13"/>
      <c r="B11" s="14"/>
      <c r="C11" s="14"/>
      <c r="D11" s="14"/>
      <c r="E11" s="14"/>
      <c r="F11" s="14"/>
      <c r="G11" s="14"/>
      <c r="H11" s="14"/>
      <c r="I11" s="14"/>
      <c r="J11" s="14"/>
      <c r="K11" s="11"/>
      <c r="L11" s="11"/>
      <c r="M11" s="11"/>
    </row>
    <row r="12" spans="1:26" ht="12.75" customHeight="1" x14ac:dyDescent="0.25">
      <c r="A12" s="11"/>
      <c r="B12" s="11"/>
      <c r="C12" s="11"/>
      <c r="D12" s="11"/>
      <c r="E12" s="11"/>
      <c r="F12" s="11"/>
      <c r="G12" s="11"/>
      <c r="H12" s="11"/>
      <c r="I12" s="11"/>
      <c r="J12" s="11"/>
      <c r="K12" s="11"/>
      <c r="L12" s="11"/>
      <c r="M12" s="11"/>
    </row>
    <row r="13" spans="1:26" ht="138.75" customHeight="1" x14ac:dyDescent="0.25">
      <c r="A13" s="27" t="s">
        <v>7</v>
      </c>
      <c r="B13" s="28"/>
      <c r="C13" s="28"/>
      <c r="D13" s="28"/>
      <c r="E13" s="28"/>
      <c r="F13" s="28"/>
      <c r="G13" s="28"/>
      <c r="H13" s="28"/>
      <c r="I13" s="28"/>
      <c r="J13" s="29"/>
      <c r="K13" s="11"/>
      <c r="L13" s="11"/>
      <c r="M13" s="11"/>
    </row>
    <row r="14" spans="1:26" ht="12.75" customHeight="1" x14ac:dyDescent="0.25">
      <c r="A14" s="11"/>
      <c r="B14" s="11"/>
      <c r="C14" s="11"/>
      <c r="D14" s="11"/>
      <c r="E14" s="11"/>
      <c r="F14" s="11"/>
      <c r="G14" s="11"/>
      <c r="H14" s="11"/>
      <c r="I14" s="11"/>
      <c r="J14" s="11"/>
      <c r="K14" s="11"/>
      <c r="L14" s="11"/>
      <c r="M14" s="11"/>
    </row>
    <row r="15" spans="1:26" ht="75" customHeight="1" x14ac:dyDescent="0.25">
      <c r="A15" s="27" t="s">
        <v>8</v>
      </c>
      <c r="B15" s="28"/>
      <c r="C15" s="28"/>
      <c r="D15" s="28"/>
      <c r="E15" s="28"/>
      <c r="F15" s="28"/>
      <c r="G15" s="28"/>
      <c r="H15" s="28"/>
      <c r="I15" s="28"/>
      <c r="J15" s="29"/>
      <c r="K15" s="11"/>
      <c r="L15" s="11"/>
      <c r="M15" s="11"/>
    </row>
    <row r="16" spans="1:26" ht="12.75" customHeight="1" x14ac:dyDescent="0.25">
      <c r="A16" s="11"/>
      <c r="B16" s="11"/>
      <c r="C16" s="11"/>
      <c r="D16" s="11"/>
      <c r="E16" s="11"/>
      <c r="F16" s="11"/>
      <c r="G16" s="11"/>
      <c r="H16" s="11"/>
      <c r="I16" s="11"/>
      <c r="J16" s="11"/>
      <c r="K16" s="11"/>
      <c r="L16" s="11"/>
      <c r="M16" s="11"/>
    </row>
    <row r="17" spans="1:13" ht="12.75" customHeight="1" x14ac:dyDescent="0.25">
      <c r="A17" s="11"/>
      <c r="B17" s="11"/>
      <c r="C17" s="11"/>
      <c r="D17" s="11"/>
      <c r="E17" s="11"/>
      <c r="F17" s="11"/>
      <c r="G17" s="11"/>
      <c r="H17" s="11"/>
      <c r="I17" s="11"/>
      <c r="J17" s="11"/>
      <c r="K17" s="11"/>
      <c r="L17" s="11"/>
      <c r="M17" s="11"/>
    </row>
    <row r="18" spans="1:13" ht="12.75" customHeight="1" x14ac:dyDescent="0.25">
      <c r="A18" s="11"/>
      <c r="B18" s="11"/>
      <c r="C18" s="11"/>
      <c r="D18" s="11"/>
      <c r="E18" s="11"/>
      <c r="F18" s="11"/>
      <c r="G18" s="11"/>
      <c r="H18" s="11"/>
      <c r="I18" s="11"/>
      <c r="J18" s="11"/>
      <c r="K18" s="11"/>
      <c r="L18" s="11"/>
      <c r="M18" s="11"/>
    </row>
    <row r="19" spans="1:13" ht="12.75" customHeight="1" x14ac:dyDescent="0.25">
      <c r="A19" s="11"/>
      <c r="B19" s="11"/>
      <c r="C19" s="11"/>
      <c r="D19" s="11"/>
      <c r="E19" s="11"/>
      <c r="F19" s="11"/>
      <c r="G19" s="11"/>
      <c r="H19" s="11"/>
      <c r="I19" s="11"/>
      <c r="J19" s="11"/>
      <c r="K19" s="11"/>
      <c r="L19" s="11"/>
      <c r="M19" s="11"/>
    </row>
    <row r="20" spans="1:13" ht="12.75" customHeight="1" x14ac:dyDescent="0.25">
      <c r="A20" s="11"/>
      <c r="B20" s="11"/>
      <c r="C20" s="11"/>
      <c r="D20" s="11"/>
      <c r="E20" s="11"/>
      <c r="F20" s="11"/>
      <c r="G20" s="11"/>
      <c r="H20" s="11"/>
      <c r="I20" s="11"/>
      <c r="J20" s="11"/>
      <c r="K20" s="11"/>
      <c r="L20" s="11"/>
      <c r="M20" s="11"/>
    </row>
    <row r="21" spans="1:13" ht="12.75" customHeight="1" x14ac:dyDescent="0.25">
      <c r="A21" s="11"/>
      <c r="B21" s="11"/>
      <c r="C21" s="11"/>
      <c r="D21" s="11"/>
      <c r="E21" s="11"/>
      <c r="F21" s="11"/>
      <c r="G21" s="11"/>
      <c r="H21" s="11"/>
      <c r="I21" s="11"/>
      <c r="J21" s="11"/>
      <c r="K21" s="11"/>
      <c r="L21" s="11"/>
      <c r="M21" s="11"/>
    </row>
    <row r="22" spans="1:13" ht="12.75" customHeight="1" x14ac:dyDescent="0.25">
      <c r="A22" s="11"/>
      <c r="B22" s="11"/>
      <c r="C22" s="11"/>
      <c r="D22" s="11"/>
      <c r="E22" s="11"/>
      <c r="F22" s="11"/>
      <c r="G22" s="11"/>
      <c r="H22" s="11"/>
      <c r="I22" s="11"/>
      <c r="J22" s="11"/>
      <c r="K22" s="11"/>
      <c r="L22" s="11"/>
      <c r="M22" s="11"/>
    </row>
    <row r="23" spans="1:13" ht="12.75" customHeight="1" x14ac:dyDescent="0.25">
      <c r="A23" s="11"/>
      <c r="B23" s="11"/>
      <c r="C23" s="11"/>
      <c r="D23" s="11"/>
      <c r="E23" s="11"/>
      <c r="F23" s="11"/>
      <c r="G23" s="11"/>
      <c r="H23" s="11"/>
      <c r="I23" s="11"/>
      <c r="J23" s="11"/>
      <c r="K23" s="11"/>
      <c r="L23" s="11"/>
      <c r="M23" s="11"/>
    </row>
    <row r="24" spans="1:13" ht="12.75" customHeight="1" x14ac:dyDescent="0.25">
      <c r="A24" s="11"/>
      <c r="B24" s="11"/>
      <c r="C24" s="11"/>
      <c r="D24" s="11"/>
      <c r="E24" s="11"/>
      <c r="F24" s="11"/>
      <c r="G24" s="11"/>
      <c r="H24" s="11"/>
      <c r="I24" s="11"/>
      <c r="J24" s="11"/>
      <c r="K24" s="11"/>
      <c r="L24" s="11"/>
      <c r="M24" s="11"/>
    </row>
    <row r="25" spans="1:13" ht="12.75" customHeight="1" x14ac:dyDescent="0.25">
      <c r="A25" s="11"/>
      <c r="B25" s="11"/>
      <c r="C25" s="11"/>
      <c r="D25" s="11"/>
      <c r="E25" s="11"/>
      <c r="F25" s="11"/>
      <c r="G25" s="11"/>
      <c r="H25" s="11"/>
      <c r="I25" s="11"/>
      <c r="J25" s="11"/>
      <c r="K25" s="11"/>
      <c r="L25" s="11"/>
      <c r="M25" s="11"/>
    </row>
    <row r="26" spans="1:13" ht="12.75" customHeight="1" x14ac:dyDescent="0.25">
      <c r="A26" s="11"/>
      <c r="B26" s="11"/>
      <c r="C26" s="11"/>
      <c r="D26" s="15"/>
      <c r="E26" s="15"/>
      <c r="F26" s="10"/>
      <c r="G26" s="10"/>
      <c r="H26" s="11"/>
      <c r="I26" s="11"/>
      <c r="J26" s="11"/>
      <c r="K26" s="11"/>
      <c r="L26" s="11"/>
      <c r="M26" s="11"/>
    </row>
    <row r="27" spans="1:13" ht="12.75" customHeight="1" x14ac:dyDescent="0.25">
      <c r="A27" s="11"/>
      <c r="B27" s="11"/>
      <c r="C27" s="11"/>
      <c r="D27" s="11"/>
      <c r="E27" s="11"/>
      <c r="F27" s="11"/>
      <c r="G27" s="11"/>
      <c r="H27" s="11"/>
      <c r="I27" s="11"/>
      <c r="J27" s="11"/>
      <c r="K27" s="11"/>
      <c r="L27" s="11"/>
      <c r="M27" s="11"/>
    </row>
    <row r="28" spans="1:13" ht="12.75" customHeight="1" x14ac:dyDescent="0.25">
      <c r="A28" s="11"/>
      <c r="B28" s="11"/>
      <c r="C28" s="11"/>
      <c r="D28" s="11"/>
      <c r="E28" s="11"/>
      <c r="F28" s="11"/>
      <c r="G28" s="11"/>
      <c r="H28" s="11"/>
      <c r="I28" s="11"/>
      <c r="J28" s="11"/>
      <c r="K28" s="11"/>
      <c r="L28" s="11"/>
      <c r="M28" s="11"/>
    </row>
    <row r="29" spans="1:13" ht="12.75" customHeight="1" x14ac:dyDescent="0.2"/>
    <row r="30" spans="1:13" ht="12.75" customHeight="1" x14ac:dyDescent="0.2"/>
    <row r="31" spans="1:13" ht="12.75" customHeight="1" x14ac:dyDescent="0.2"/>
    <row r="32" spans="1:13"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4">
    <mergeCell ref="A13:J13"/>
    <mergeCell ref="A15:J15"/>
    <mergeCell ref="A5:L5"/>
    <mergeCell ref="A2:L2"/>
  </mergeCells>
  <hyperlinks>
    <hyperlink ref="L8" r:id="rId1" xr:uid="{BB762D19-E62C-405A-AD8E-F64411496E01}"/>
    <hyperlink ref="L9" r:id="rId2" xr:uid="{B5ABA063-5F1C-4D17-B470-349B25D366A3}"/>
    <hyperlink ref="L10" r:id="rId3" xr:uid="{4EBDD0B4-46F1-4A1A-8C0D-7DF42DA123FC}"/>
  </hyperlinks>
  <pageMargins left="0.7" right="0.7" top="0.75" bottom="0.75" header="0" footer="0"/>
  <pageSetup orientation="landscape" r:id="rId4"/>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outlinePr summaryBelow="0" summaryRight="0"/>
  </sheetPr>
  <dimension ref="A1:Z321"/>
  <sheetViews>
    <sheetView tabSelected="1" workbookViewId="0">
      <selection activeCell="L39" sqref="A35:L39"/>
    </sheetView>
  </sheetViews>
  <sheetFormatPr baseColWidth="10" defaultColWidth="12.5703125" defaultRowHeight="15" customHeight="1" x14ac:dyDescent="0.2"/>
  <cols>
    <col min="1" max="1" width="18.7109375" customWidth="1"/>
    <col min="2" max="4" width="19.7109375" customWidth="1"/>
    <col min="5" max="5" width="30.7109375" customWidth="1"/>
    <col min="6" max="9" width="15.7109375" customWidth="1"/>
    <col min="10" max="10" width="30.7109375" customWidth="1"/>
    <col min="11" max="12" width="25.7109375" customWidth="1"/>
    <col min="16" max="16" width="26.7109375" customWidth="1"/>
    <col min="17" max="17" width="27.7109375" customWidth="1"/>
  </cols>
  <sheetData>
    <row r="1" spans="1:26" ht="15" customHeight="1" x14ac:dyDescent="0.25">
      <c r="A1" s="231"/>
      <c r="B1" s="267"/>
      <c r="C1" s="267"/>
      <c r="D1" s="267"/>
      <c r="E1" s="267"/>
      <c r="F1" s="267"/>
      <c r="G1" s="267"/>
      <c r="H1" s="267"/>
      <c r="I1" s="267"/>
      <c r="J1" s="267"/>
      <c r="K1" s="267"/>
      <c r="L1" s="267"/>
      <c r="M1" s="267"/>
    </row>
    <row r="2" spans="1:26" ht="15" customHeight="1" x14ac:dyDescent="0.2">
      <c r="A2" s="75" t="s">
        <v>474</v>
      </c>
      <c r="B2" s="75"/>
      <c r="C2" s="75"/>
      <c r="D2" s="75"/>
      <c r="E2" s="75"/>
      <c r="F2" s="75"/>
      <c r="G2" s="75"/>
      <c r="H2" s="75"/>
      <c r="I2" s="75"/>
      <c r="J2" s="75"/>
      <c r="K2" s="75"/>
      <c r="L2" s="75"/>
      <c r="M2" s="267"/>
    </row>
    <row r="3" spans="1:26" ht="15" customHeight="1" x14ac:dyDescent="0.2">
      <c r="A3" s="267"/>
      <c r="B3" s="267"/>
      <c r="C3" s="267"/>
      <c r="D3" s="267"/>
      <c r="E3" s="267"/>
      <c r="F3" s="267"/>
      <c r="G3" s="267"/>
      <c r="H3" s="267"/>
      <c r="I3" s="267"/>
      <c r="J3" s="267"/>
      <c r="K3" s="267"/>
      <c r="L3" s="267"/>
      <c r="M3" s="267"/>
    </row>
    <row r="4" spans="1:26" ht="15" customHeight="1" x14ac:dyDescent="0.25">
      <c r="A4" s="229" t="s">
        <v>475</v>
      </c>
      <c r="B4" s="229"/>
      <c r="C4" s="229"/>
      <c r="D4" s="229"/>
      <c r="E4" s="229"/>
      <c r="F4" s="229"/>
      <c r="G4" s="229"/>
      <c r="H4" s="229"/>
      <c r="I4" s="229"/>
      <c r="J4" s="229"/>
      <c r="K4" s="229"/>
      <c r="L4" s="229"/>
      <c r="M4" s="231"/>
      <c r="S4" s="5"/>
      <c r="T4" s="5"/>
      <c r="U4" s="5"/>
      <c r="V4" s="5"/>
      <c r="W4" s="5"/>
      <c r="X4" s="5"/>
      <c r="Y4" s="5"/>
      <c r="Z4" s="5"/>
    </row>
    <row r="5" spans="1:26" ht="15" customHeight="1" x14ac:dyDescent="0.25">
      <c r="A5" s="231"/>
      <c r="B5" s="231"/>
      <c r="C5" s="231"/>
      <c r="D5" s="231"/>
      <c r="E5" s="231"/>
      <c r="F5" s="231"/>
      <c r="G5" s="231"/>
      <c r="H5" s="231"/>
      <c r="I5" s="231"/>
      <c r="J5" s="231"/>
      <c r="K5" s="231"/>
      <c r="L5" s="231"/>
      <c r="M5" s="231"/>
      <c r="S5" s="5"/>
      <c r="T5" s="5"/>
      <c r="U5" s="5"/>
      <c r="V5" s="5"/>
      <c r="W5" s="5"/>
      <c r="X5" s="5"/>
      <c r="Y5" s="5"/>
      <c r="Z5" s="5"/>
    </row>
    <row r="6" spans="1:26" ht="54" customHeight="1" x14ac:dyDescent="0.25">
      <c r="A6" s="250" t="s">
        <v>476</v>
      </c>
      <c r="B6" s="251" t="s">
        <v>12</v>
      </c>
      <c r="C6" s="251" t="s">
        <v>13</v>
      </c>
      <c r="D6" s="251" t="s">
        <v>14</v>
      </c>
      <c r="E6" s="251" t="s">
        <v>15</v>
      </c>
      <c r="F6" s="251" t="s">
        <v>16</v>
      </c>
      <c r="G6" s="252" t="s">
        <v>21</v>
      </c>
      <c r="H6" s="253" t="s">
        <v>17</v>
      </c>
      <c r="I6" s="251" t="s">
        <v>18</v>
      </c>
      <c r="J6" s="251" t="s">
        <v>19</v>
      </c>
      <c r="K6" s="251" t="s">
        <v>22</v>
      </c>
      <c r="L6" s="251" t="s">
        <v>507</v>
      </c>
      <c r="M6" s="231"/>
      <c r="S6" s="5"/>
      <c r="T6" s="5"/>
      <c r="U6" s="5"/>
      <c r="V6" s="5"/>
      <c r="W6" s="5"/>
      <c r="X6" s="5"/>
      <c r="Y6" s="5"/>
      <c r="Z6" s="5"/>
    </row>
    <row r="7" spans="1:26" ht="125.25" customHeight="1" x14ac:dyDescent="0.25">
      <c r="A7" s="254" t="s">
        <v>484</v>
      </c>
      <c r="B7" s="44" t="s">
        <v>313</v>
      </c>
      <c r="C7" s="258" t="s">
        <v>496</v>
      </c>
      <c r="D7" s="44" t="s">
        <v>497</v>
      </c>
      <c r="E7" s="44" t="s">
        <v>336</v>
      </c>
      <c r="F7" s="44" t="s">
        <v>335</v>
      </c>
      <c r="G7" s="247">
        <v>450000</v>
      </c>
      <c r="H7" s="44" t="s">
        <v>515</v>
      </c>
      <c r="I7" s="44" t="s">
        <v>296</v>
      </c>
      <c r="J7" s="44" t="s">
        <v>20</v>
      </c>
      <c r="K7" s="44" t="s">
        <v>334</v>
      </c>
      <c r="L7" s="44" t="s">
        <v>333</v>
      </c>
      <c r="M7" s="231"/>
      <c r="S7" s="5"/>
      <c r="T7" s="5"/>
      <c r="U7" s="5"/>
      <c r="V7" s="5"/>
      <c r="W7" s="5"/>
      <c r="X7" s="5"/>
      <c r="Y7" s="5"/>
      <c r="Z7" s="5"/>
    </row>
    <row r="8" spans="1:26" ht="122.25" customHeight="1" x14ac:dyDescent="0.25">
      <c r="A8" s="254" t="s">
        <v>483</v>
      </c>
      <c r="B8" s="44" t="s">
        <v>313</v>
      </c>
      <c r="C8" s="258" t="s">
        <v>496</v>
      </c>
      <c r="D8" s="44" t="s">
        <v>495</v>
      </c>
      <c r="E8" s="44" t="s">
        <v>311</v>
      </c>
      <c r="F8" s="44" t="s">
        <v>310</v>
      </c>
      <c r="G8" s="44" t="s">
        <v>309</v>
      </c>
      <c r="H8" s="65" t="s">
        <v>516</v>
      </c>
      <c r="I8" s="44" t="s">
        <v>296</v>
      </c>
      <c r="J8" s="44" t="s">
        <v>20</v>
      </c>
      <c r="K8" s="44" t="s">
        <v>308</v>
      </c>
      <c r="L8" s="44" t="s">
        <v>307</v>
      </c>
      <c r="M8" s="231"/>
      <c r="S8" s="5"/>
      <c r="T8" s="5"/>
      <c r="U8" s="5"/>
      <c r="V8" s="5"/>
      <c r="W8" s="5"/>
      <c r="X8" s="5"/>
      <c r="Y8" s="5"/>
      <c r="Z8" s="5"/>
    </row>
    <row r="9" spans="1:26" ht="122.25" customHeight="1" x14ac:dyDescent="0.25">
      <c r="A9" s="254" t="s">
        <v>485</v>
      </c>
      <c r="B9" s="44" t="s">
        <v>353</v>
      </c>
      <c r="C9" s="258" t="s">
        <v>296</v>
      </c>
      <c r="D9" s="44" t="s">
        <v>352</v>
      </c>
      <c r="E9" s="44" t="s">
        <v>351</v>
      </c>
      <c r="F9" s="44" t="s">
        <v>350</v>
      </c>
      <c r="G9" s="247">
        <v>240000</v>
      </c>
      <c r="H9" s="44" t="s">
        <v>517</v>
      </c>
      <c r="I9" s="44" t="s">
        <v>296</v>
      </c>
      <c r="J9" s="44" t="s">
        <v>20</v>
      </c>
      <c r="K9" s="44" t="s">
        <v>349</v>
      </c>
      <c r="L9" s="44" t="s">
        <v>348</v>
      </c>
      <c r="M9" s="12"/>
      <c r="S9" s="5"/>
      <c r="T9" s="5"/>
      <c r="U9" s="5"/>
      <c r="V9" s="5"/>
      <c r="W9" s="5"/>
      <c r="X9" s="5"/>
      <c r="Y9" s="5"/>
      <c r="Z9" s="5"/>
    </row>
    <row r="10" spans="1:26" s="9" customFormat="1" ht="122.25" customHeight="1" x14ac:dyDescent="0.25">
      <c r="A10" s="254" t="s">
        <v>480</v>
      </c>
      <c r="B10" s="44" t="s">
        <v>366</v>
      </c>
      <c r="C10" s="258">
        <v>9001651058</v>
      </c>
      <c r="D10" s="44" t="s">
        <v>498</v>
      </c>
      <c r="E10" s="44" t="s">
        <v>364</v>
      </c>
      <c r="F10" s="44" t="s">
        <v>363</v>
      </c>
      <c r="G10" s="44" t="s">
        <v>362</v>
      </c>
      <c r="H10" s="44" t="s">
        <v>518</v>
      </c>
      <c r="I10" s="44" t="s">
        <v>296</v>
      </c>
      <c r="J10" s="44" t="s">
        <v>20</v>
      </c>
      <c r="K10" s="44" t="s">
        <v>361</v>
      </c>
      <c r="L10" s="44" t="s">
        <v>360</v>
      </c>
      <c r="M10" s="12"/>
      <c r="S10" s="5"/>
      <c r="T10" s="5"/>
      <c r="U10" s="5"/>
      <c r="V10" s="5"/>
      <c r="W10" s="5"/>
      <c r="X10" s="5"/>
      <c r="Y10" s="5"/>
      <c r="Z10" s="5"/>
    </row>
    <row r="11" spans="1:26" s="9" customFormat="1" ht="122.25" customHeight="1" x14ac:dyDescent="0.25">
      <c r="A11" s="254" t="s">
        <v>479</v>
      </c>
      <c r="B11" s="44" t="s">
        <v>402</v>
      </c>
      <c r="C11" s="258" t="s">
        <v>500</v>
      </c>
      <c r="D11" s="44" t="s">
        <v>499</v>
      </c>
      <c r="E11" s="43" t="s">
        <v>400</v>
      </c>
      <c r="F11" s="244" t="s">
        <v>399</v>
      </c>
      <c r="G11" s="233" t="s">
        <v>398</v>
      </c>
      <c r="H11" s="233" t="s">
        <v>397</v>
      </c>
      <c r="I11" s="245" t="s">
        <v>379</v>
      </c>
      <c r="J11" s="44" t="s">
        <v>63</v>
      </c>
      <c r="K11" s="43" t="s">
        <v>396</v>
      </c>
      <c r="L11" s="44" t="s">
        <v>395</v>
      </c>
      <c r="M11" s="12"/>
      <c r="S11" s="5"/>
      <c r="T11" s="5"/>
      <c r="U11" s="5"/>
      <c r="V11" s="5"/>
      <c r="W11" s="5"/>
      <c r="X11" s="5"/>
      <c r="Y11" s="5"/>
      <c r="Z11" s="5"/>
    </row>
    <row r="12" spans="1:26" s="9" customFormat="1" ht="122.25" customHeight="1" x14ac:dyDescent="0.25">
      <c r="A12" s="254" t="s">
        <v>486</v>
      </c>
      <c r="B12" s="259" t="s">
        <v>415</v>
      </c>
      <c r="C12" s="258" t="s">
        <v>502</v>
      </c>
      <c r="D12" s="259" t="s">
        <v>501</v>
      </c>
      <c r="E12" s="260" t="s">
        <v>413</v>
      </c>
      <c r="F12" s="261">
        <v>549900</v>
      </c>
      <c r="G12" s="262">
        <v>654381</v>
      </c>
      <c r="H12" s="263" t="s">
        <v>412</v>
      </c>
      <c r="I12" s="264" t="s">
        <v>379</v>
      </c>
      <c r="J12" s="259" t="s">
        <v>411</v>
      </c>
      <c r="K12" s="260" t="s">
        <v>410</v>
      </c>
      <c r="L12" s="265" t="s">
        <v>409</v>
      </c>
      <c r="M12" s="12"/>
      <c r="S12" s="5"/>
      <c r="T12" s="5"/>
      <c r="U12" s="5"/>
      <c r="V12" s="5"/>
      <c r="W12" s="5"/>
      <c r="X12" s="5"/>
      <c r="Y12" s="5"/>
      <c r="Z12" s="5"/>
    </row>
    <row r="13" spans="1:26" s="9" customFormat="1" ht="122.25" customHeight="1" x14ac:dyDescent="0.25">
      <c r="A13" s="254" t="s">
        <v>487</v>
      </c>
      <c r="B13" s="44" t="s">
        <v>435</v>
      </c>
      <c r="C13" s="258" t="s">
        <v>504</v>
      </c>
      <c r="D13" s="44" t="s">
        <v>503</v>
      </c>
      <c r="E13" s="43" t="s">
        <v>433</v>
      </c>
      <c r="F13" s="233">
        <v>693067</v>
      </c>
      <c r="G13" s="233">
        <v>1009120</v>
      </c>
      <c r="H13" s="63" t="s">
        <v>432</v>
      </c>
      <c r="I13" s="62" t="s">
        <v>379</v>
      </c>
      <c r="J13" s="44" t="s">
        <v>411</v>
      </c>
      <c r="K13" s="43" t="s">
        <v>431</v>
      </c>
      <c r="L13" s="44" t="s">
        <v>430</v>
      </c>
      <c r="M13" s="12"/>
      <c r="S13" s="5"/>
      <c r="T13" s="5"/>
      <c r="U13" s="5"/>
      <c r="V13" s="5"/>
      <c r="W13" s="5"/>
      <c r="X13" s="5"/>
      <c r="Y13" s="5"/>
      <c r="Z13" s="5"/>
    </row>
    <row r="14" spans="1:26" s="9" customFormat="1" ht="122.25" customHeight="1" x14ac:dyDescent="0.25">
      <c r="A14" s="254" t="s">
        <v>481</v>
      </c>
      <c r="B14" s="259" t="s">
        <v>455</v>
      </c>
      <c r="C14" s="258" t="s">
        <v>506</v>
      </c>
      <c r="D14" s="259" t="s">
        <v>505</v>
      </c>
      <c r="E14" s="260" t="s">
        <v>454</v>
      </c>
      <c r="F14" s="261">
        <v>60000</v>
      </c>
      <c r="G14" s="262">
        <v>72471</v>
      </c>
      <c r="H14" s="263" t="s">
        <v>453</v>
      </c>
      <c r="I14" s="264" t="s">
        <v>379</v>
      </c>
      <c r="J14" s="259" t="s">
        <v>418</v>
      </c>
      <c r="K14" s="266" t="s">
        <v>452</v>
      </c>
      <c r="L14" s="265" t="s">
        <v>451</v>
      </c>
      <c r="M14" s="12"/>
      <c r="S14" s="5"/>
      <c r="T14" s="5"/>
      <c r="U14" s="5"/>
      <c r="V14" s="5"/>
      <c r="W14" s="5"/>
      <c r="X14" s="5"/>
      <c r="Y14" s="5"/>
      <c r="Z14" s="5"/>
    </row>
    <row r="15" spans="1:26" s="9" customFormat="1" ht="122.25" customHeight="1" x14ac:dyDescent="0.25">
      <c r="A15" s="254" t="s">
        <v>482</v>
      </c>
      <c r="B15" s="246" t="s">
        <v>119</v>
      </c>
      <c r="C15" s="246" t="s">
        <v>120</v>
      </c>
      <c r="D15" s="246" t="s">
        <v>121</v>
      </c>
      <c r="E15" s="246" t="s">
        <v>122</v>
      </c>
      <c r="F15" s="248">
        <v>19000</v>
      </c>
      <c r="G15" s="248">
        <v>19</v>
      </c>
      <c r="H15" s="249">
        <v>4.7</v>
      </c>
      <c r="I15" s="246" t="s">
        <v>123</v>
      </c>
      <c r="J15" s="246" t="s">
        <v>124</v>
      </c>
      <c r="K15" s="246" t="s">
        <v>125</v>
      </c>
      <c r="L15" s="60" t="s">
        <v>126</v>
      </c>
      <c r="M15" s="12"/>
      <c r="S15" s="5"/>
      <c r="T15" s="5"/>
      <c r="U15" s="5"/>
      <c r="V15" s="5"/>
      <c r="W15" s="5"/>
      <c r="X15" s="5"/>
      <c r="Y15" s="5"/>
      <c r="Z15" s="5"/>
    </row>
    <row r="16" spans="1:26" s="9" customFormat="1" ht="40.5" customHeight="1" x14ac:dyDescent="0.25">
      <c r="A16" s="267"/>
      <c r="B16" s="267"/>
      <c r="C16" s="267"/>
      <c r="D16" s="267"/>
      <c r="E16" s="267"/>
      <c r="F16" s="273" t="s">
        <v>513</v>
      </c>
      <c r="G16" s="273" t="s">
        <v>514</v>
      </c>
      <c r="H16" s="273" t="s">
        <v>519</v>
      </c>
      <c r="I16" s="267"/>
      <c r="J16" s="267"/>
      <c r="K16" s="267"/>
      <c r="L16" s="267"/>
      <c r="M16" s="267"/>
      <c r="S16" s="5"/>
      <c r="T16" s="5"/>
      <c r="U16" s="5"/>
      <c r="V16" s="5"/>
      <c r="W16" s="5"/>
      <c r="X16" s="5"/>
      <c r="Y16" s="5"/>
      <c r="Z16" s="5"/>
    </row>
    <row r="17" spans="1:26" ht="15" customHeight="1" x14ac:dyDescent="0.25">
      <c r="A17" s="267"/>
      <c r="B17" s="267"/>
      <c r="C17" s="267"/>
      <c r="D17" s="267"/>
      <c r="E17" s="267"/>
      <c r="F17" s="267"/>
      <c r="G17" s="267"/>
      <c r="H17" s="267"/>
      <c r="I17" s="267"/>
      <c r="J17" s="267"/>
      <c r="K17" s="267"/>
      <c r="L17" s="267"/>
      <c r="M17" s="267"/>
      <c r="S17" s="5"/>
      <c r="T17" s="5"/>
      <c r="U17" s="5"/>
      <c r="V17" s="5"/>
      <c r="W17" s="5"/>
      <c r="X17" s="5"/>
      <c r="Y17" s="5"/>
      <c r="Z17" s="5"/>
    </row>
    <row r="18" spans="1:26" ht="15" customHeight="1" x14ac:dyDescent="0.25">
      <c r="A18" s="267"/>
      <c r="B18" s="267"/>
      <c r="C18" s="267"/>
      <c r="D18" s="267"/>
      <c r="E18" s="267"/>
      <c r="F18" s="267"/>
      <c r="G18" s="267"/>
      <c r="H18" s="267"/>
      <c r="I18" s="267"/>
      <c r="J18" s="267"/>
      <c r="K18" s="267"/>
      <c r="L18" s="267"/>
      <c r="M18" s="267"/>
      <c r="S18" s="5"/>
      <c r="T18" s="5"/>
      <c r="U18" s="5"/>
      <c r="V18" s="5"/>
      <c r="W18" s="5"/>
      <c r="X18" s="5"/>
      <c r="Y18" s="5"/>
      <c r="Z18" s="5"/>
    </row>
    <row r="19" spans="1:26" ht="15" customHeight="1" x14ac:dyDescent="0.25">
      <c r="A19" s="256" t="s">
        <v>490</v>
      </c>
      <c r="B19" s="256"/>
      <c r="C19" s="256"/>
      <c r="D19" s="256"/>
      <c r="E19" s="256"/>
      <c r="F19" s="256"/>
      <c r="G19" s="256"/>
      <c r="H19" s="256"/>
      <c r="I19" s="256"/>
      <c r="J19" s="256"/>
      <c r="K19" s="256"/>
      <c r="L19" s="256"/>
      <c r="M19" s="231"/>
      <c r="S19" s="5"/>
      <c r="T19" s="5"/>
      <c r="U19" s="5"/>
      <c r="V19" s="5"/>
      <c r="W19" s="5"/>
      <c r="X19" s="5"/>
      <c r="Y19" s="5"/>
      <c r="Z19" s="5"/>
    </row>
    <row r="20" spans="1:26" ht="15" customHeight="1" x14ac:dyDescent="0.25">
      <c r="A20" s="231"/>
      <c r="B20" s="231"/>
      <c r="C20" s="231"/>
      <c r="D20" s="231"/>
      <c r="E20" s="231"/>
      <c r="F20" s="231"/>
      <c r="G20" s="231"/>
      <c r="H20" s="231"/>
      <c r="I20" s="231"/>
      <c r="J20" s="231"/>
      <c r="K20" s="231"/>
      <c r="L20" s="231"/>
      <c r="M20" s="231"/>
      <c r="S20" s="5"/>
      <c r="T20" s="5"/>
      <c r="U20" s="5"/>
      <c r="V20" s="5"/>
      <c r="W20" s="5"/>
      <c r="X20" s="5"/>
      <c r="Y20" s="5"/>
      <c r="Z20" s="5"/>
    </row>
    <row r="21" spans="1:26" ht="35.25" customHeight="1" x14ac:dyDescent="0.25">
      <c r="A21" s="232" t="s">
        <v>476</v>
      </c>
      <c r="B21" s="268" t="s">
        <v>12</v>
      </c>
      <c r="C21" s="268" t="s">
        <v>13</v>
      </c>
      <c r="D21" s="268" t="s">
        <v>14</v>
      </c>
      <c r="E21" s="268" t="s">
        <v>15</v>
      </c>
      <c r="F21" s="268" t="s">
        <v>16</v>
      </c>
      <c r="G21" s="269" t="s">
        <v>21</v>
      </c>
      <c r="H21" s="270" t="s">
        <v>17</v>
      </c>
      <c r="I21" s="268" t="s">
        <v>18</v>
      </c>
      <c r="J21" s="268" t="s">
        <v>19</v>
      </c>
      <c r="K21" s="268" t="s">
        <v>22</v>
      </c>
      <c r="L21" s="268" t="s">
        <v>23</v>
      </c>
      <c r="M21" s="231"/>
      <c r="S21" s="5"/>
      <c r="T21" s="5"/>
      <c r="U21" s="5"/>
      <c r="V21" s="5"/>
      <c r="W21" s="5"/>
      <c r="X21" s="5"/>
      <c r="Y21" s="5"/>
      <c r="Z21" s="5"/>
    </row>
    <row r="22" spans="1:26" ht="125.25" customHeight="1" x14ac:dyDescent="0.25">
      <c r="A22" s="254" t="s">
        <v>477</v>
      </c>
      <c r="B22" s="44" t="s">
        <v>153</v>
      </c>
      <c r="C22" s="44" t="s">
        <v>152</v>
      </c>
      <c r="D22" s="44" t="s">
        <v>151</v>
      </c>
      <c r="E22" s="44" t="s">
        <v>150</v>
      </c>
      <c r="F22" s="221">
        <v>1520000</v>
      </c>
      <c r="G22" s="221">
        <v>1808800</v>
      </c>
      <c r="H22" s="221">
        <v>452</v>
      </c>
      <c r="I22" s="44" t="s">
        <v>136</v>
      </c>
      <c r="J22" s="44" t="s">
        <v>149</v>
      </c>
      <c r="K22" s="44" t="s">
        <v>148</v>
      </c>
      <c r="L22" s="60" t="s">
        <v>147</v>
      </c>
      <c r="M22" s="255"/>
      <c r="N22" s="5"/>
      <c r="O22" s="5"/>
      <c r="P22" s="5"/>
      <c r="Q22" s="5"/>
      <c r="R22" s="5"/>
      <c r="S22" s="5"/>
      <c r="T22" s="5"/>
      <c r="U22" s="5"/>
      <c r="V22" s="5"/>
      <c r="W22" s="5"/>
      <c r="X22" s="5"/>
      <c r="Y22" s="5"/>
      <c r="Z22" s="5"/>
    </row>
    <row r="23" spans="1:26" ht="125.25" customHeight="1" x14ac:dyDescent="0.25">
      <c r="A23" s="254" t="s">
        <v>478</v>
      </c>
      <c r="B23" s="44" t="s">
        <v>153</v>
      </c>
      <c r="C23" s="69" t="s">
        <v>152</v>
      </c>
      <c r="D23" s="69" t="s">
        <v>172</v>
      </c>
      <c r="E23" s="43" t="s">
        <v>171</v>
      </c>
      <c r="F23" s="64">
        <v>410000</v>
      </c>
      <c r="G23" s="64">
        <v>487900</v>
      </c>
      <c r="H23" s="63">
        <v>122</v>
      </c>
      <c r="I23" s="62" t="s">
        <v>136</v>
      </c>
      <c r="J23" s="68" t="s">
        <v>20</v>
      </c>
      <c r="K23" s="61" t="s">
        <v>170</v>
      </c>
      <c r="L23" s="44" t="s">
        <v>169</v>
      </c>
      <c r="M23" s="255"/>
      <c r="N23" s="5"/>
      <c r="O23" s="5"/>
      <c r="P23" s="5"/>
      <c r="Q23" s="5"/>
      <c r="R23" s="5"/>
      <c r="S23" s="5"/>
      <c r="T23" s="5"/>
      <c r="U23" s="5"/>
      <c r="V23" s="5"/>
      <c r="W23" s="5"/>
      <c r="X23" s="5"/>
      <c r="Y23" s="5"/>
      <c r="Z23" s="5"/>
    </row>
    <row r="24" spans="1:26" ht="125.25" customHeight="1" x14ac:dyDescent="0.25">
      <c r="A24" s="254" t="s">
        <v>488</v>
      </c>
      <c r="B24" s="44" t="s">
        <v>168</v>
      </c>
      <c r="C24" s="66" t="s">
        <v>167</v>
      </c>
      <c r="D24" s="66" t="s">
        <v>166</v>
      </c>
      <c r="E24" s="43" t="s">
        <v>195</v>
      </c>
      <c r="F24" s="65">
        <v>170000</v>
      </c>
      <c r="G24" s="64">
        <v>202300</v>
      </c>
      <c r="H24" s="63">
        <v>50</v>
      </c>
      <c r="I24" s="62" t="s">
        <v>136</v>
      </c>
      <c r="J24" s="44" t="s">
        <v>20</v>
      </c>
      <c r="K24" s="44" t="s">
        <v>194</v>
      </c>
      <c r="L24" s="60" t="s">
        <v>193</v>
      </c>
      <c r="M24" s="255"/>
      <c r="N24" s="5"/>
      <c r="O24" s="5"/>
      <c r="P24" s="5"/>
      <c r="Q24" s="5"/>
      <c r="R24" s="5"/>
      <c r="S24" s="5"/>
      <c r="T24" s="5"/>
      <c r="U24" s="5"/>
      <c r="V24" s="5"/>
      <c r="W24" s="5"/>
      <c r="X24" s="5"/>
      <c r="Y24" s="5"/>
      <c r="Z24" s="5"/>
    </row>
    <row r="25" spans="1:26" ht="125.25" customHeight="1" x14ac:dyDescent="0.25">
      <c r="A25" s="254" t="s">
        <v>489</v>
      </c>
      <c r="B25" s="44" t="s">
        <v>140</v>
      </c>
      <c r="C25" s="66" t="s">
        <v>139</v>
      </c>
      <c r="D25" s="66" t="s">
        <v>138</v>
      </c>
      <c r="E25" s="43" t="s">
        <v>204</v>
      </c>
      <c r="F25" s="82">
        <v>210000</v>
      </c>
      <c r="G25" s="82">
        <v>249900</v>
      </c>
      <c r="H25" s="63">
        <v>62</v>
      </c>
      <c r="I25" s="62" t="s">
        <v>136</v>
      </c>
      <c r="J25" s="44" t="s">
        <v>203</v>
      </c>
      <c r="K25" s="43" t="s">
        <v>202</v>
      </c>
      <c r="L25" s="83" t="s">
        <v>201</v>
      </c>
      <c r="M25" s="255"/>
      <c r="N25" s="5"/>
      <c r="O25" s="5"/>
      <c r="P25" s="5"/>
      <c r="Q25" s="5"/>
      <c r="R25" s="5"/>
      <c r="S25" s="5"/>
      <c r="T25" s="5"/>
      <c r="U25" s="5"/>
      <c r="V25" s="5"/>
      <c r="W25" s="5"/>
      <c r="X25" s="5"/>
      <c r="Y25" s="5"/>
      <c r="Z25" s="5"/>
    </row>
    <row r="26" spans="1:26" ht="125.25" customHeight="1" x14ac:dyDescent="0.25">
      <c r="A26" s="254" t="s">
        <v>480</v>
      </c>
      <c r="B26" s="44" t="s">
        <v>242</v>
      </c>
      <c r="C26" s="44" t="s">
        <v>296</v>
      </c>
      <c r="D26" s="44" t="s">
        <v>241</v>
      </c>
      <c r="E26" s="44" t="s">
        <v>240</v>
      </c>
      <c r="F26" s="233" t="s">
        <v>239</v>
      </c>
      <c r="G26" s="233" t="s">
        <v>238</v>
      </c>
      <c r="H26" s="63">
        <v>354</v>
      </c>
      <c r="I26" s="234" t="s">
        <v>236</v>
      </c>
      <c r="J26" s="44" t="s">
        <v>20</v>
      </c>
      <c r="K26" s="44" t="s">
        <v>235</v>
      </c>
      <c r="L26" s="66" t="s">
        <v>234</v>
      </c>
      <c r="M26" s="255"/>
      <c r="N26" s="5"/>
      <c r="O26" s="5"/>
      <c r="P26" s="5"/>
      <c r="Q26" s="5"/>
      <c r="R26" s="5"/>
      <c r="S26" s="5"/>
      <c r="T26" s="5"/>
      <c r="U26" s="5"/>
      <c r="V26" s="5"/>
      <c r="W26" s="5"/>
      <c r="X26" s="5"/>
      <c r="Y26" s="5"/>
      <c r="Z26" s="5"/>
    </row>
    <row r="27" spans="1:26" ht="122.25" customHeight="1" x14ac:dyDescent="0.25">
      <c r="A27" s="254" t="s">
        <v>479</v>
      </c>
      <c r="B27" s="44" t="s">
        <v>213</v>
      </c>
      <c r="C27" s="258" t="s">
        <v>41</v>
      </c>
      <c r="D27" s="66" t="s">
        <v>491</v>
      </c>
      <c r="E27" s="44" t="s">
        <v>211</v>
      </c>
      <c r="F27" s="235">
        <v>200</v>
      </c>
      <c r="G27" s="236">
        <v>238</v>
      </c>
      <c r="H27" s="63" t="s">
        <v>210</v>
      </c>
      <c r="I27" s="62" t="s">
        <v>28</v>
      </c>
      <c r="J27" s="44" t="s">
        <v>20</v>
      </c>
      <c r="K27" s="43" t="s">
        <v>209</v>
      </c>
      <c r="L27" s="66" t="s">
        <v>208</v>
      </c>
      <c r="M27" s="255"/>
      <c r="N27" s="5"/>
      <c r="O27" s="5"/>
      <c r="P27" s="5"/>
      <c r="Q27" s="5"/>
      <c r="R27" s="5"/>
      <c r="S27" s="5"/>
      <c r="T27" s="5"/>
      <c r="U27" s="5"/>
      <c r="V27" s="5"/>
      <c r="W27" s="5"/>
      <c r="X27" s="5"/>
      <c r="Y27" s="5"/>
      <c r="Z27" s="5"/>
    </row>
    <row r="28" spans="1:26" ht="125.25" customHeight="1" x14ac:dyDescent="0.25">
      <c r="A28" s="254" t="s">
        <v>481</v>
      </c>
      <c r="B28" s="44" t="s">
        <v>266</v>
      </c>
      <c r="C28" s="258" t="s">
        <v>296</v>
      </c>
      <c r="D28" s="44" t="s">
        <v>492</v>
      </c>
      <c r="E28" s="43" t="s">
        <v>264</v>
      </c>
      <c r="F28" s="235">
        <v>40</v>
      </c>
      <c r="G28" s="236">
        <v>47.6</v>
      </c>
      <c r="H28" s="63" t="s">
        <v>263</v>
      </c>
      <c r="I28" s="234" t="s">
        <v>262</v>
      </c>
      <c r="J28" s="44" t="e">
        <f>VLOOKUP(#REF!, 'RAM Admin'!$A$7:$K$10, 9, FALSE)</f>
        <v>#REF!</v>
      </c>
      <c r="K28" s="44" t="s">
        <v>261</v>
      </c>
      <c r="L28" s="66" t="s">
        <v>260</v>
      </c>
      <c r="M28" s="255"/>
      <c r="N28" s="5"/>
      <c r="O28" s="5"/>
      <c r="P28" s="5"/>
      <c r="Q28" s="5"/>
      <c r="R28" s="5"/>
      <c r="S28" s="5"/>
      <c r="T28" s="5"/>
      <c r="U28" s="5"/>
      <c r="V28" s="5"/>
      <c r="W28" s="5"/>
      <c r="X28" s="5"/>
      <c r="Y28" s="5"/>
      <c r="Z28" s="5"/>
    </row>
    <row r="29" spans="1:26" ht="125.25" customHeight="1" x14ac:dyDescent="0.25">
      <c r="A29" s="254" t="s">
        <v>482</v>
      </c>
      <c r="B29" s="44" t="s">
        <v>220</v>
      </c>
      <c r="C29" s="258" t="s">
        <v>494</v>
      </c>
      <c r="D29" s="66" t="s">
        <v>493</v>
      </c>
      <c r="E29" s="66" t="s">
        <v>289</v>
      </c>
      <c r="F29" s="235">
        <v>35</v>
      </c>
      <c r="G29" s="236">
        <v>41.65</v>
      </c>
      <c r="H29" s="63" t="s">
        <v>288</v>
      </c>
      <c r="I29" s="62" t="s">
        <v>28</v>
      </c>
      <c r="J29" s="44" t="s">
        <v>20</v>
      </c>
      <c r="K29" s="43" t="s">
        <v>222</v>
      </c>
      <c r="L29" s="66" t="s">
        <v>287</v>
      </c>
      <c r="M29" s="255"/>
      <c r="N29" s="5"/>
      <c r="O29" s="5"/>
      <c r="P29" s="5"/>
      <c r="Q29" s="5"/>
      <c r="R29" s="5"/>
      <c r="S29" s="5"/>
      <c r="T29" s="5"/>
      <c r="U29" s="5"/>
      <c r="V29" s="5"/>
      <c r="W29" s="5"/>
      <c r="X29" s="5"/>
      <c r="Y29" s="5"/>
      <c r="Z29" s="5"/>
    </row>
    <row r="30" spans="1:26" ht="16.5" x14ac:dyDescent="0.25">
      <c r="A30" s="230"/>
      <c r="B30" s="271"/>
      <c r="C30" s="271"/>
      <c r="D30" s="271"/>
      <c r="E30" s="274" t="s">
        <v>526</v>
      </c>
      <c r="F30" s="275" t="s">
        <v>520</v>
      </c>
      <c r="G30" s="275" t="s">
        <v>521</v>
      </c>
      <c r="H30" s="275" t="s">
        <v>522</v>
      </c>
      <c r="I30" s="271"/>
      <c r="J30" s="271"/>
      <c r="K30" s="271"/>
      <c r="L30" s="272"/>
      <c r="M30" s="12"/>
      <c r="N30" s="5"/>
      <c r="O30" s="5"/>
      <c r="P30" s="5"/>
      <c r="Q30" s="5"/>
      <c r="R30" s="5"/>
      <c r="S30" s="5"/>
      <c r="T30" s="5"/>
      <c r="U30" s="5"/>
      <c r="V30" s="5"/>
      <c r="W30" s="5"/>
      <c r="X30" s="5"/>
      <c r="Y30" s="5"/>
      <c r="Z30" s="5"/>
    </row>
    <row r="31" spans="1:26" ht="16.5" x14ac:dyDescent="0.25">
      <c r="A31" s="231"/>
      <c r="B31" s="10"/>
      <c r="C31" s="10"/>
      <c r="D31" s="10"/>
      <c r="E31" s="276" t="s">
        <v>527</v>
      </c>
      <c r="F31" s="275" t="s">
        <v>523</v>
      </c>
      <c r="G31" s="275" t="s">
        <v>524</v>
      </c>
      <c r="H31" s="275" t="s">
        <v>525</v>
      </c>
      <c r="I31" s="10"/>
      <c r="J31" s="10"/>
      <c r="K31" s="10"/>
      <c r="L31" s="10"/>
      <c r="M31" s="10"/>
      <c r="N31" s="5"/>
      <c r="O31" s="5"/>
      <c r="P31" s="5"/>
      <c r="Q31" s="5"/>
      <c r="R31" s="5"/>
      <c r="S31" s="5"/>
      <c r="T31" s="5"/>
      <c r="U31" s="5"/>
      <c r="V31" s="5"/>
      <c r="W31" s="5"/>
      <c r="X31" s="5"/>
      <c r="Y31" s="5"/>
      <c r="Z31" s="5"/>
    </row>
    <row r="32" spans="1:26" ht="16.5" x14ac:dyDescent="0.25">
      <c r="A32" s="10"/>
      <c r="B32" s="10"/>
      <c r="C32" s="10"/>
      <c r="D32" s="10"/>
      <c r="E32" s="10"/>
      <c r="F32" s="10"/>
      <c r="G32" s="10"/>
      <c r="H32" s="10"/>
      <c r="I32" s="10"/>
      <c r="J32" s="10"/>
      <c r="K32" s="10"/>
      <c r="L32" s="10"/>
      <c r="M32" s="10"/>
      <c r="N32" s="5"/>
      <c r="O32" s="5"/>
      <c r="P32" s="5"/>
      <c r="Q32" s="5"/>
      <c r="R32" s="5"/>
      <c r="S32" s="5"/>
      <c r="T32" s="5"/>
      <c r="U32" s="5"/>
      <c r="V32" s="5"/>
      <c r="W32" s="5"/>
      <c r="X32" s="5"/>
      <c r="Y32" s="5"/>
      <c r="Z32" s="5"/>
    </row>
    <row r="33" spans="1:26" ht="16.5" x14ac:dyDescent="0.25">
      <c r="A33" s="257" t="s">
        <v>508</v>
      </c>
      <c r="B33" s="257"/>
      <c r="C33" s="257"/>
      <c r="D33" s="257"/>
      <c r="E33" s="257"/>
      <c r="F33" s="257"/>
      <c r="G33" s="257"/>
      <c r="H33" s="257"/>
      <c r="I33" s="257"/>
      <c r="J33" s="257"/>
      <c r="K33" s="257"/>
      <c r="L33" s="257"/>
      <c r="M33" s="10"/>
      <c r="N33" s="5"/>
      <c r="O33" s="5"/>
      <c r="P33" s="5"/>
      <c r="Q33" s="5"/>
      <c r="R33" s="5"/>
      <c r="S33" s="5"/>
      <c r="T33" s="5"/>
      <c r="U33" s="5"/>
      <c r="V33" s="5"/>
      <c r="W33" s="5"/>
      <c r="X33" s="5"/>
      <c r="Y33" s="5"/>
      <c r="Z33" s="5"/>
    </row>
    <row r="34" spans="1:26" ht="16.5" x14ac:dyDescent="0.25">
      <c r="A34" s="231"/>
      <c r="B34" s="231"/>
      <c r="C34" s="231"/>
      <c r="D34" s="231"/>
      <c r="E34" s="231"/>
      <c r="F34" s="231"/>
      <c r="G34" s="231"/>
      <c r="H34" s="231"/>
      <c r="I34" s="231"/>
      <c r="J34" s="231"/>
      <c r="K34" s="231"/>
      <c r="L34" s="231"/>
      <c r="M34" s="10"/>
      <c r="N34" s="5"/>
      <c r="O34" s="5"/>
      <c r="P34" s="5"/>
      <c r="Q34" s="5"/>
      <c r="R34" s="5"/>
      <c r="S34" s="5"/>
      <c r="T34" s="5"/>
      <c r="U34" s="5"/>
      <c r="V34" s="5"/>
      <c r="W34" s="5"/>
      <c r="X34" s="5"/>
      <c r="Y34" s="5"/>
      <c r="Z34" s="5"/>
    </row>
    <row r="35" spans="1:26" ht="52.5" customHeight="1" x14ac:dyDescent="0.25">
      <c r="A35" s="250" t="s">
        <v>476</v>
      </c>
      <c r="B35" s="278" t="s">
        <v>12</v>
      </c>
      <c r="C35" s="278" t="s">
        <v>13</v>
      </c>
      <c r="D35" s="278" t="s">
        <v>14</v>
      </c>
      <c r="E35" s="278" t="s">
        <v>15</v>
      </c>
      <c r="F35" s="278" t="s">
        <v>16</v>
      </c>
      <c r="G35" s="279" t="s">
        <v>21</v>
      </c>
      <c r="H35" s="280" t="s">
        <v>17</v>
      </c>
      <c r="I35" s="278" t="s">
        <v>18</v>
      </c>
      <c r="J35" s="278" t="s">
        <v>19</v>
      </c>
      <c r="K35" s="278" t="s">
        <v>22</v>
      </c>
      <c r="L35" s="278" t="s">
        <v>23</v>
      </c>
      <c r="M35" s="10"/>
      <c r="N35" s="5"/>
      <c r="O35" s="5"/>
      <c r="P35" s="5"/>
      <c r="Q35" s="5"/>
      <c r="R35" s="5"/>
      <c r="S35" s="5"/>
      <c r="T35" s="5"/>
      <c r="U35" s="5"/>
      <c r="V35" s="5"/>
      <c r="W35" s="5"/>
      <c r="X35" s="5"/>
      <c r="Y35" s="5"/>
      <c r="Z35" s="5"/>
    </row>
    <row r="36" spans="1:26" ht="78.75" x14ac:dyDescent="0.25">
      <c r="A36" s="254" t="s">
        <v>509</v>
      </c>
      <c r="B36" s="246" t="s">
        <v>97</v>
      </c>
      <c r="C36" s="246" t="s">
        <v>98</v>
      </c>
      <c r="D36" s="246" t="s">
        <v>99</v>
      </c>
      <c r="E36" s="246" t="s">
        <v>100</v>
      </c>
      <c r="F36" s="248">
        <v>69.3</v>
      </c>
      <c r="G36" s="248">
        <v>82.466999999999999</v>
      </c>
      <c r="H36" s="249">
        <v>20</v>
      </c>
      <c r="I36" s="246" t="s">
        <v>70</v>
      </c>
      <c r="J36" s="246" t="s">
        <v>63</v>
      </c>
      <c r="K36" s="246" t="s">
        <v>101</v>
      </c>
      <c r="L36" s="60" t="s">
        <v>102</v>
      </c>
      <c r="M36" s="10"/>
      <c r="N36" s="5"/>
      <c r="O36" s="5"/>
      <c r="P36" s="5"/>
      <c r="Q36" s="5"/>
      <c r="R36" s="5"/>
      <c r="S36" s="5"/>
      <c r="T36" s="5"/>
      <c r="U36" s="5"/>
      <c r="V36" s="5"/>
      <c r="W36" s="5"/>
      <c r="X36" s="5"/>
      <c r="Y36" s="5"/>
      <c r="Z36" s="5"/>
    </row>
    <row r="37" spans="1:26" ht="78.75" x14ac:dyDescent="0.25">
      <c r="A37" s="254" t="s">
        <v>510</v>
      </c>
      <c r="B37" s="246" t="s">
        <v>75</v>
      </c>
      <c r="C37" s="246" t="s">
        <v>76</v>
      </c>
      <c r="D37" s="246" t="s">
        <v>77</v>
      </c>
      <c r="E37" s="246" t="s">
        <v>78</v>
      </c>
      <c r="F37" s="248">
        <v>97.5</v>
      </c>
      <c r="G37" s="248">
        <v>116.02500000000001</v>
      </c>
      <c r="H37" s="249">
        <v>28</v>
      </c>
      <c r="I37" s="246" t="s">
        <v>79</v>
      </c>
      <c r="J37" s="246" t="s">
        <v>80</v>
      </c>
      <c r="K37" s="246" t="s">
        <v>81</v>
      </c>
      <c r="L37" s="60" t="s">
        <v>82</v>
      </c>
      <c r="M37" s="10"/>
      <c r="N37" s="5"/>
      <c r="O37" s="5"/>
      <c r="P37" s="5"/>
      <c r="Q37" s="5"/>
      <c r="R37" s="5"/>
      <c r="S37" s="5"/>
      <c r="T37" s="5"/>
      <c r="U37" s="5"/>
      <c r="V37" s="5"/>
      <c r="W37" s="5"/>
      <c r="X37" s="5"/>
      <c r="Y37" s="5"/>
      <c r="Z37" s="5"/>
    </row>
    <row r="38" spans="1:26" ht="63" x14ac:dyDescent="0.25">
      <c r="A38" s="251" t="s">
        <v>511</v>
      </c>
      <c r="B38" s="246" t="s">
        <v>59</v>
      </c>
      <c r="C38" s="246" t="s">
        <v>60</v>
      </c>
      <c r="D38" s="246" t="s">
        <v>61</v>
      </c>
      <c r="E38" s="246" t="s">
        <v>62</v>
      </c>
      <c r="F38" s="248">
        <v>49.98</v>
      </c>
      <c r="G38" s="248">
        <v>49.98</v>
      </c>
      <c r="H38" s="249">
        <v>12</v>
      </c>
      <c r="I38" s="246" t="s">
        <v>28</v>
      </c>
      <c r="J38" s="246" t="s">
        <v>63</v>
      </c>
      <c r="K38" s="246" t="s">
        <v>64</v>
      </c>
      <c r="L38" s="60" t="s">
        <v>65</v>
      </c>
      <c r="M38" s="10"/>
      <c r="N38" s="5"/>
      <c r="O38" s="5"/>
      <c r="P38" s="5"/>
      <c r="Q38" s="5"/>
      <c r="R38" s="5"/>
      <c r="S38" s="5"/>
      <c r="T38" s="5"/>
      <c r="U38" s="5"/>
      <c r="V38" s="5"/>
      <c r="W38" s="5"/>
      <c r="X38" s="5"/>
      <c r="Y38" s="5"/>
      <c r="Z38" s="5"/>
    </row>
    <row r="39" spans="1:26" ht="78.75" x14ac:dyDescent="0.25">
      <c r="A39" s="254" t="s">
        <v>512</v>
      </c>
      <c r="B39" s="246" t="s">
        <v>24</v>
      </c>
      <c r="C39" s="246" t="s">
        <v>25</v>
      </c>
      <c r="D39" s="246" t="s">
        <v>26</v>
      </c>
      <c r="E39" s="246" t="s">
        <v>27</v>
      </c>
      <c r="F39" s="248">
        <v>618</v>
      </c>
      <c r="G39" s="248">
        <v>735.42</v>
      </c>
      <c r="H39" s="249">
        <v>180</v>
      </c>
      <c r="I39" s="246" t="s">
        <v>28</v>
      </c>
      <c r="J39" s="246" t="s">
        <v>29</v>
      </c>
      <c r="K39" s="246" t="s">
        <v>30</v>
      </c>
      <c r="L39" s="60" t="s">
        <v>31</v>
      </c>
      <c r="M39" s="10"/>
      <c r="N39" s="5"/>
      <c r="O39" s="5"/>
      <c r="P39" s="5"/>
      <c r="Q39" s="5"/>
      <c r="R39" s="5"/>
      <c r="S39" s="5"/>
      <c r="T39" s="5"/>
      <c r="U39" s="5"/>
      <c r="V39" s="5"/>
      <c r="W39" s="5"/>
      <c r="X39" s="5"/>
      <c r="Y39" s="5"/>
      <c r="Z39" s="5"/>
    </row>
    <row r="40" spans="1:26" ht="16.5" x14ac:dyDescent="0.25">
      <c r="A40" s="231"/>
      <c r="B40" s="10"/>
      <c r="C40" s="10"/>
      <c r="D40" s="10"/>
      <c r="E40" s="10"/>
      <c r="F40" s="277" t="s">
        <v>528</v>
      </c>
      <c r="G40" s="277" t="s">
        <v>529</v>
      </c>
      <c r="H40" s="277" t="s">
        <v>530</v>
      </c>
      <c r="I40" s="10"/>
      <c r="J40" s="10"/>
      <c r="K40" s="10"/>
      <c r="L40" s="10"/>
      <c r="M40" s="10"/>
      <c r="N40" s="5"/>
      <c r="O40" s="5"/>
      <c r="P40" s="5"/>
      <c r="Q40" s="5"/>
      <c r="R40" s="5"/>
      <c r="S40" s="5"/>
      <c r="T40" s="5"/>
      <c r="U40" s="5"/>
      <c r="V40" s="5"/>
      <c r="W40" s="5"/>
      <c r="X40" s="5"/>
      <c r="Y40" s="5"/>
      <c r="Z40" s="5"/>
    </row>
    <row r="41" spans="1:26" ht="16.5" x14ac:dyDescent="0.25">
      <c r="A41" s="10"/>
      <c r="B41" s="10"/>
      <c r="C41" s="10"/>
      <c r="D41" s="10"/>
      <c r="E41" s="10"/>
      <c r="F41" s="10"/>
      <c r="G41" s="10"/>
      <c r="H41" s="10"/>
      <c r="I41" s="10"/>
      <c r="J41" s="10"/>
      <c r="K41" s="10"/>
      <c r="L41" s="10"/>
      <c r="M41" s="10"/>
      <c r="N41" s="5"/>
      <c r="O41" s="5"/>
      <c r="P41" s="5"/>
      <c r="Q41" s="5"/>
      <c r="R41" s="5"/>
      <c r="S41" s="5"/>
      <c r="T41" s="5"/>
      <c r="U41" s="5"/>
      <c r="V41" s="5"/>
      <c r="W41" s="5"/>
      <c r="X41" s="5"/>
      <c r="Y41" s="5"/>
      <c r="Z41" s="5"/>
    </row>
    <row r="42" spans="1:26" ht="16.5" x14ac:dyDescent="0.25">
      <c r="A42" s="6"/>
      <c r="B42" s="5"/>
      <c r="C42" s="5"/>
      <c r="D42" s="5"/>
      <c r="E42" s="5"/>
      <c r="F42" s="5"/>
      <c r="G42" s="5"/>
      <c r="H42" s="5"/>
      <c r="I42" s="5"/>
      <c r="J42" s="5"/>
      <c r="K42" s="5"/>
      <c r="L42" s="5"/>
      <c r="M42" s="5"/>
      <c r="N42" s="5"/>
      <c r="O42" s="5"/>
      <c r="P42" s="5"/>
      <c r="Q42" s="5"/>
      <c r="R42" s="5"/>
      <c r="S42" s="5"/>
      <c r="T42" s="5"/>
      <c r="U42" s="5"/>
      <c r="V42" s="5"/>
      <c r="W42" s="5"/>
      <c r="X42" s="5"/>
      <c r="Y42" s="5"/>
      <c r="Z42" s="5"/>
    </row>
    <row r="43" spans="1:26" ht="16.5" x14ac:dyDescent="0.2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6.5" x14ac:dyDescent="0.25">
      <c r="A44" s="7"/>
      <c r="B44" s="5"/>
      <c r="C44" s="5"/>
      <c r="D44" s="5"/>
      <c r="E44" s="5"/>
      <c r="F44" s="5"/>
      <c r="G44" s="5"/>
      <c r="H44" s="5"/>
      <c r="I44" s="5"/>
      <c r="J44" s="5"/>
      <c r="K44" s="5"/>
      <c r="L44" s="5"/>
      <c r="M44" s="5"/>
      <c r="N44" s="5"/>
      <c r="O44" s="5"/>
      <c r="P44" s="5"/>
      <c r="Q44" s="5"/>
      <c r="R44" s="5"/>
      <c r="S44" s="5"/>
      <c r="T44" s="5"/>
      <c r="U44" s="5"/>
      <c r="V44" s="5"/>
      <c r="W44" s="5"/>
      <c r="X44" s="5"/>
      <c r="Y44" s="5"/>
      <c r="Z44" s="5"/>
    </row>
    <row r="45" spans="1:26" ht="16.5" x14ac:dyDescent="0.2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6.5" x14ac:dyDescent="0.25">
      <c r="A46" s="7"/>
      <c r="B46" s="5"/>
      <c r="C46" s="5"/>
      <c r="D46" s="5"/>
      <c r="E46" s="5"/>
      <c r="F46" s="5"/>
      <c r="G46" s="5"/>
      <c r="H46" s="5"/>
      <c r="I46" s="5"/>
      <c r="J46" s="5"/>
      <c r="K46" s="5"/>
      <c r="L46" s="5"/>
      <c r="M46" s="5"/>
      <c r="N46" s="5"/>
      <c r="O46" s="5"/>
      <c r="P46" s="5"/>
      <c r="Q46" s="5"/>
      <c r="R46" s="5"/>
      <c r="S46" s="5"/>
      <c r="T46" s="5"/>
      <c r="U46" s="5"/>
      <c r="V46" s="5"/>
      <c r="W46" s="5"/>
      <c r="X46" s="5"/>
      <c r="Y46" s="5"/>
      <c r="Z46" s="5"/>
    </row>
    <row r="47" spans="1:26" ht="16.5" x14ac:dyDescent="0.2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6.5" x14ac:dyDescent="0.25">
      <c r="A48" s="6"/>
      <c r="B48" s="5"/>
      <c r="C48" s="5"/>
      <c r="D48" s="5"/>
      <c r="E48" s="5"/>
      <c r="F48" s="5"/>
      <c r="G48" s="5"/>
      <c r="H48" s="5"/>
      <c r="I48" s="5"/>
      <c r="J48" s="5"/>
      <c r="K48" s="5"/>
      <c r="L48" s="5"/>
      <c r="M48" s="5"/>
      <c r="N48" s="5"/>
      <c r="O48" s="5"/>
      <c r="P48" s="5"/>
      <c r="Q48" s="5"/>
      <c r="R48" s="5"/>
      <c r="S48" s="5"/>
      <c r="T48" s="5"/>
      <c r="U48" s="5"/>
      <c r="V48" s="5"/>
      <c r="W48" s="5"/>
      <c r="X48" s="5"/>
      <c r="Y48" s="5"/>
      <c r="Z48" s="5"/>
    </row>
    <row r="49" spans="1:26" ht="16.5" x14ac:dyDescent="0.2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6.5" x14ac:dyDescent="0.25">
      <c r="A50" s="6"/>
      <c r="B50" s="5"/>
      <c r="C50" s="5"/>
      <c r="D50" s="5"/>
      <c r="E50" s="5"/>
      <c r="F50" s="5"/>
      <c r="G50" s="5"/>
      <c r="H50" s="5"/>
      <c r="I50" s="5"/>
      <c r="J50" s="5"/>
      <c r="K50" s="5"/>
      <c r="L50" s="5"/>
      <c r="M50" s="5"/>
      <c r="N50" s="5"/>
      <c r="O50" s="5"/>
      <c r="P50" s="5"/>
      <c r="Q50" s="5"/>
      <c r="R50" s="5"/>
      <c r="S50" s="5"/>
      <c r="T50" s="5"/>
      <c r="U50" s="5"/>
      <c r="V50" s="5"/>
      <c r="W50" s="5"/>
      <c r="X50" s="5"/>
      <c r="Y50" s="5"/>
      <c r="Z50" s="5"/>
    </row>
    <row r="51" spans="1:26" ht="16.5" x14ac:dyDescent="0.2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6.5" x14ac:dyDescent="0.25">
      <c r="A52" s="6"/>
      <c r="B52" s="5"/>
      <c r="C52" s="5"/>
      <c r="D52" s="5"/>
      <c r="E52" s="5"/>
      <c r="F52" s="5"/>
      <c r="G52" s="5"/>
      <c r="H52" s="5"/>
      <c r="I52" s="5"/>
      <c r="J52" s="5"/>
      <c r="K52" s="5"/>
      <c r="L52" s="5"/>
      <c r="M52" s="5"/>
      <c r="N52" s="5"/>
      <c r="O52" s="5"/>
      <c r="P52" s="5"/>
      <c r="Q52" s="5"/>
      <c r="R52" s="5"/>
      <c r="S52" s="5"/>
      <c r="T52" s="5"/>
      <c r="U52" s="5"/>
      <c r="V52" s="5"/>
      <c r="W52" s="5"/>
      <c r="X52" s="5"/>
      <c r="Y52" s="5"/>
      <c r="Z52" s="5"/>
    </row>
    <row r="53" spans="1:26" ht="16.5" x14ac:dyDescent="0.2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6.5" x14ac:dyDescent="0.25">
      <c r="A54" s="6"/>
      <c r="B54" s="5"/>
      <c r="C54" s="5"/>
      <c r="D54" s="5"/>
      <c r="E54" s="5"/>
      <c r="F54" s="5"/>
      <c r="G54" s="5"/>
      <c r="H54" s="5"/>
      <c r="I54" s="5"/>
      <c r="J54" s="5"/>
      <c r="K54" s="5"/>
      <c r="L54" s="5"/>
      <c r="M54" s="5"/>
      <c r="N54" s="5"/>
      <c r="O54" s="5"/>
      <c r="P54" s="5"/>
      <c r="Q54" s="5"/>
      <c r="R54" s="5"/>
      <c r="S54" s="5"/>
      <c r="T54" s="5"/>
      <c r="U54" s="5"/>
      <c r="V54" s="5"/>
      <c r="W54" s="5"/>
      <c r="X54" s="5"/>
      <c r="Y54" s="5"/>
      <c r="Z54" s="5"/>
    </row>
    <row r="55" spans="1:26" ht="16.5" x14ac:dyDescent="0.25">
      <c r="A55" s="4"/>
      <c r="B55" s="5"/>
      <c r="C55" s="5"/>
      <c r="D55" s="5"/>
      <c r="E55" s="5"/>
      <c r="F55" s="5"/>
      <c r="G55" s="5"/>
      <c r="H55" s="5"/>
      <c r="I55" s="5"/>
      <c r="J55" s="5"/>
      <c r="K55" s="5"/>
      <c r="L55" s="5"/>
      <c r="M55" s="5"/>
      <c r="N55" s="5"/>
      <c r="O55" s="5"/>
      <c r="P55" s="5"/>
      <c r="Q55" s="5"/>
      <c r="R55" s="5"/>
      <c r="S55" s="5"/>
      <c r="T55" s="5"/>
      <c r="U55" s="5"/>
      <c r="V55" s="5"/>
      <c r="W55" s="5"/>
      <c r="X55" s="5"/>
      <c r="Y55" s="5"/>
      <c r="Z55" s="5"/>
    </row>
    <row r="56" spans="1:26" ht="16.5" x14ac:dyDescent="0.25">
      <c r="A56" s="4"/>
      <c r="B56" s="5"/>
      <c r="C56" s="5"/>
      <c r="D56" s="5"/>
      <c r="E56" s="5"/>
      <c r="F56" s="5"/>
      <c r="G56" s="5"/>
      <c r="H56" s="5"/>
      <c r="I56" s="5"/>
      <c r="J56" s="5"/>
      <c r="K56" s="5"/>
      <c r="L56" s="5"/>
      <c r="M56" s="5"/>
      <c r="N56" s="5"/>
      <c r="O56" s="5"/>
      <c r="P56" s="5"/>
      <c r="Q56" s="5"/>
      <c r="R56" s="5"/>
      <c r="S56" s="5"/>
      <c r="T56" s="5"/>
      <c r="U56" s="5"/>
      <c r="V56" s="5"/>
      <c r="W56" s="5"/>
      <c r="X56" s="5"/>
      <c r="Y56" s="5"/>
      <c r="Z56" s="5"/>
    </row>
    <row r="57" spans="1:26" ht="16.5" x14ac:dyDescent="0.2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6.5" x14ac:dyDescent="0.25">
      <c r="A58" s="6"/>
      <c r="B58" s="5"/>
      <c r="C58" s="5"/>
      <c r="D58" s="5"/>
      <c r="E58" s="5"/>
      <c r="F58" s="5"/>
      <c r="G58" s="5"/>
      <c r="H58" s="5"/>
      <c r="I58" s="5"/>
      <c r="J58" s="5"/>
      <c r="K58" s="5"/>
      <c r="L58" s="5"/>
      <c r="M58" s="5"/>
      <c r="N58" s="5"/>
      <c r="O58" s="5"/>
      <c r="P58" s="5"/>
      <c r="Q58" s="5"/>
      <c r="R58" s="5"/>
      <c r="S58" s="5"/>
      <c r="T58" s="5"/>
      <c r="U58" s="5"/>
      <c r="V58" s="5"/>
      <c r="W58" s="5"/>
      <c r="X58" s="5"/>
      <c r="Y58" s="5"/>
      <c r="Z58" s="5"/>
    </row>
    <row r="59" spans="1:26" ht="16.5" x14ac:dyDescent="0.2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6.5" x14ac:dyDescent="0.25">
      <c r="A60" s="6"/>
      <c r="B60" s="5"/>
      <c r="C60" s="5"/>
      <c r="D60" s="5"/>
      <c r="E60" s="5"/>
      <c r="F60" s="5"/>
      <c r="G60" s="5"/>
      <c r="H60" s="5"/>
      <c r="I60" s="5"/>
      <c r="J60" s="5"/>
      <c r="K60" s="5"/>
      <c r="L60" s="5"/>
      <c r="M60" s="5"/>
      <c r="N60" s="5"/>
      <c r="O60" s="5"/>
      <c r="P60" s="5"/>
      <c r="Q60" s="5"/>
      <c r="R60" s="5"/>
      <c r="S60" s="5"/>
      <c r="T60" s="5"/>
      <c r="U60" s="5"/>
      <c r="V60" s="5"/>
      <c r="W60" s="5"/>
      <c r="X60" s="5"/>
      <c r="Y60" s="5"/>
      <c r="Z60" s="5"/>
    </row>
    <row r="61" spans="1:26" ht="16.5" x14ac:dyDescent="0.2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6.5" x14ac:dyDescent="0.25">
      <c r="A62" s="7"/>
      <c r="B62" s="5"/>
      <c r="C62" s="5"/>
      <c r="D62" s="5"/>
      <c r="E62" s="5"/>
      <c r="F62" s="5"/>
      <c r="G62" s="5"/>
      <c r="H62" s="5"/>
      <c r="I62" s="5"/>
      <c r="J62" s="5"/>
      <c r="K62" s="5"/>
      <c r="L62" s="5"/>
      <c r="M62" s="5"/>
      <c r="N62" s="5"/>
      <c r="O62" s="5"/>
      <c r="P62" s="5"/>
      <c r="Q62" s="5"/>
      <c r="R62" s="5"/>
      <c r="S62" s="5"/>
      <c r="T62" s="5"/>
      <c r="U62" s="5"/>
      <c r="V62" s="5"/>
      <c r="W62" s="5"/>
      <c r="X62" s="5"/>
      <c r="Y62" s="5"/>
      <c r="Z62" s="5"/>
    </row>
    <row r="63" spans="1:26" ht="16.5" x14ac:dyDescent="0.2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6.5" x14ac:dyDescent="0.25">
      <c r="A64" s="8"/>
      <c r="B64" s="5"/>
      <c r="C64" s="5"/>
      <c r="D64" s="5"/>
      <c r="E64" s="5"/>
      <c r="F64" s="5"/>
      <c r="G64" s="5"/>
      <c r="H64" s="5"/>
      <c r="I64" s="5"/>
      <c r="J64" s="5"/>
      <c r="K64" s="5"/>
      <c r="L64" s="5"/>
      <c r="M64" s="5"/>
      <c r="N64" s="5"/>
      <c r="O64" s="5"/>
      <c r="P64" s="5"/>
      <c r="Q64" s="5"/>
      <c r="R64" s="5"/>
      <c r="S64" s="5"/>
      <c r="T64" s="5"/>
      <c r="U64" s="5"/>
      <c r="V64" s="5"/>
      <c r="W64" s="5"/>
      <c r="X64" s="5"/>
      <c r="Y64" s="5"/>
      <c r="Z64" s="5"/>
    </row>
    <row r="65" spans="1:26" ht="16.5" x14ac:dyDescent="0.2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6.5" x14ac:dyDescent="0.25">
      <c r="A66" s="6"/>
      <c r="B66" s="5"/>
      <c r="C66" s="5"/>
      <c r="D66" s="5"/>
      <c r="E66" s="5"/>
      <c r="F66" s="5"/>
      <c r="G66" s="5"/>
      <c r="H66" s="5"/>
      <c r="I66" s="5"/>
      <c r="J66" s="5"/>
      <c r="K66" s="5"/>
      <c r="L66" s="5"/>
      <c r="M66" s="5"/>
      <c r="N66" s="5"/>
      <c r="O66" s="5"/>
      <c r="P66" s="5"/>
      <c r="Q66" s="5"/>
      <c r="R66" s="5"/>
      <c r="S66" s="5"/>
      <c r="T66" s="5"/>
      <c r="U66" s="5"/>
      <c r="V66" s="5"/>
      <c r="W66" s="5"/>
      <c r="X66" s="5"/>
      <c r="Y66" s="5"/>
      <c r="Z66" s="5"/>
    </row>
    <row r="67" spans="1:26" ht="16.5" x14ac:dyDescent="0.2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6.5" x14ac:dyDescent="0.25">
      <c r="A68" s="6"/>
      <c r="B68" s="5"/>
      <c r="C68" s="5"/>
      <c r="D68" s="5"/>
      <c r="E68" s="5"/>
      <c r="F68" s="5"/>
      <c r="G68" s="5"/>
      <c r="H68" s="5"/>
      <c r="I68" s="5"/>
      <c r="J68" s="5"/>
      <c r="K68" s="5"/>
      <c r="L68" s="5"/>
      <c r="M68" s="5"/>
      <c r="N68" s="5"/>
      <c r="O68" s="5"/>
      <c r="P68" s="5"/>
      <c r="Q68" s="5"/>
      <c r="R68" s="5"/>
      <c r="S68" s="5"/>
      <c r="T68" s="5"/>
      <c r="U68" s="5"/>
      <c r="V68" s="5"/>
      <c r="W68" s="5"/>
      <c r="X68" s="5"/>
      <c r="Y68" s="5"/>
      <c r="Z68" s="5"/>
    </row>
    <row r="69" spans="1:26" ht="16.5" x14ac:dyDescent="0.2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6.5" x14ac:dyDescent="0.25">
      <c r="A70" s="6"/>
      <c r="B70" s="5"/>
      <c r="C70" s="5"/>
      <c r="D70" s="5"/>
      <c r="E70" s="5"/>
      <c r="F70" s="5"/>
      <c r="G70" s="5"/>
      <c r="H70" s="5"/>
      <c r="I70" s="5"/>
      <c r="J70" s="5"/>
      <c r="K70" s="5"/>
      <c r="L70" s="5"/>
      <c r="M70" s="5"/>
      <c r="N70" s="5"/>
      <c r="O70" s="5"/>
      <c r="P70" s="5"/>
      <c r="Q70" s="5"/>
      <c r="R70" s="5"/>
      <c r="S70" s="5"/>
      <c r="T70" s="5"/>
      <c r="U70" s="5"/>
      <c r="V70" s="5"/>
      <c r="W70" s="5"/>
      <c r="X70" s="5"/>
      <c r="Y70" s="5"/>
      <c r="Z70" s="5"/>
    </row>
    <row r="71" spans="1:26" ht="16.5" x14ac:dyDescent="0.2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6.5" x14ac:dyDescent="0.25">
      <c r="A72" s="6"/>
      <c r="B72" s="5"/>
      <c r="C72" s="5"/>
      <c r="D72" s="5"/>
      <c r="E72" s="5"/>
      <c r="F72" s="5"/>
      <c r="G72" s="5"/>
      <c r="H72" s="5"/>
      <c r="I72" s="5"/>
      <c r="J72" s="5"/>
      <c r="K72" s="5"/>
      <c r="L72" s="5"/>
      <c r="M72" s="5"/>
      <c r="N72" s="5"/>
      <c r="O72" s="5"/>
      <c r="P72" s="5"/>
      <c r="Q72" s="5"/>
      <c r="R72" s="5"/>
      <c r="S72" s="5"/>
      <c r="T72" s="5"/>
      <c r="U72" s="5"/>
      <c r="V72" s="5"/>
      <c r="W72" s="5"/>
      <c r="X72" s="5"/>
      <c r="Y72" s="5"/>
      <c r="Z72" s="5"/>
    </row>
    <row r="73" spans="1:26" ht="16.5" x14ac:dyDescent="0.25">
      <c r="A73" s="4"/>
      <c r="B73" s="5"/>
      <c r="C73" s="5"/>
      <c r="D73" s="5"/>
      <c r="E73" s="5"/>
      <c r="F73" s="5"/>
      <c r="G73" s="5"/>
      <c r="H73" s="5"/>
      <c r="I73" s="5"/>
      <c r="J73" s="5"/>
      <c r="K73" s="5"/>
      <c r="L73" s="5"/>
      <c r="M73" s="5"/>
      <c r="N73" s="5"/>
      <c r="O73" s="5"/>
      <c r="P73" s="5"/>
      <c r="Q73" s="5"/>
      <c r="R73" s="5"/>
      <c r="S73" s="5"/>
      <c r="T73" s="5"/>
      <c r="U73" s="5"/>
      <c r="V73" s="5"/>
      <c r="W73" s="5"/>
      <c r="X73" s="5"/>
      <c r="Y73" s="5"/>
      <c r="Z73" s="5"/>
    </row>
    <row r="74" spans="1:26" ht="16.5" x14ac:dyDescent="0.2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6.5" x14ac:dyDescent="0.25">
      <c r="A75" s="6"/>
      <c r="B75" s="5"/>
      <c r="C75" s="5"/>
      <c r="D75" s="5"/>
      <c r="E75" s="5"/>
      <c r="F75" s="5"/>
      <c r="G75" s="5"/>
      <c r="H75" s="5"/>
      <c r="I75" s="5"/>
      <c r="J75" s="5"/>
      <c r="K75" s="5"/>
      <c r="L75" s="5"/>
      <c r="M75" s="5"/>
      <c r="N75" s="5"/>
      <c r="O75" s="5"/>
      <c r="P75" s="5"/>
      <c r="Q75" s="5"/>
      <c r="R75" s="5"/>
      <c r="S75" s="5"/>
      <c r="T75" s="5"/>
      <c r="U75" s="5"/>
      <c r="V75" s="5"/>
      <c r="W75" s="5"/>
      <c r="X75" s="5"/>
      <c r="Y75" s="5"/>
      <c r="Z75" s="5"/>
    </row>
    <row r="76" spans="1:26" ht="16.5" x14ac:dyDescent="0.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6.5" x14ac:dyDescent="0.25">
      <c r="A77" s="6"/>
      <c r="B77" s="5"/>
      <c r="C77" s="5"/>
      <c r="D77" s="5"/>
      <c r="E77" s="5"/>
      <c r="F77" s="5"/>
      <c r="G77" s="5"/>
      <c r="H77" s="5"/>
      <c r="I77" s="5"/>
      <c r="J77" s="5"/>
      <c r="K77" s="5"/>
      <c r="L77" s="5"/>
      <c r="M77" s="5"/>
      <c r="N77" s="5"/>
      <c r="O77" s="5"/>
      <c r="P77" s="5"/>
      <c r="Q77" s="5"/>
      <c r="R77" s="5"/>
      <c r="S77" s="5"/>
      <c r="T77" s="5"/>
      <c r="U77" s="5"/>
      <c r="V77" s="5"/>
      <c r="W77" s="5"/>
      <c r="X77" s="5"/>
      <c r="Y77" s="5"/>
      <c r="Z77" s="5"/>
    </row>
    <row r="78" spans="1:26" ht="16.5" x14ac:dyDescent="0.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6.5" x14ac:dyDescent="0.25">
      <c r="A79" s="7"/>
      <c r="B79" s="5"/>
      <c r="C79" s="5"/>
      <c r="D79" s="5"/>
      <c r="E79" s="5"/>
      <c r="F79" s="5"/>
      <c r="G79" s="5"/>
      <c r="H79" s="5"/>
      <c r="I79" s="5"/>
      <c r="J79" s="5"/>
      <c r="K79" s="5"/>
      <c r="L79" s="5"/>
      <c r="M79" s="5"/>
      <c r="N79" s="5"/>
      <c r="O79" s="5"/>
      <c r="P79" s="5"/>
      <c r="Q79" s="5"/>
      <c r="R79" s="5"/>
      <c r="S79" s="5"/>
      <c r="T79" s="5"/>
      <c r="U79" s="5"/>
      <c r="V79" s="5"/>
      <c r="W79" s="5"/>
      <c r="X79" s="5"/>
      <c r="Y79" s="5"/>
      <c r="Z79" s="5"/>
    </row>
    <row r="80" spans="1:26" ht="16.5" x14ac:dyDescent="0.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6.5" x14ac:dyDescent="0.25">
      <c r="A81" s="8"/>
      <c r="B81" s="5"/>
      <c r="C81" s="5"/>
      <c r="D81" s="5"/>
      <c r="E81" s="5"/>
      <c r="F81" s="5"/>
      <c r="G81" s="5"/>
      <c r="H81" s="5"/>
      <c r="I81" s="5"/>
      <c r="J81" s="5"/>
      <c r="K81" s="5"/>
      <c r="L81" s="5"/>
      <c r="M81" s="5"/>
      <c r="N81" s="5"/>
      <c r="O81" s="5"/>
      <c r="P81" s="5"/>
      <c r="Q81" s="5"/>
      <c r="R81" s="5"/>
      <c r="S81" s="5"/>
      <c r="T81" s="5"/>
      <c r="U81" s="5"/>
      <c r="V81" s="5"/>
      <c r="W81" s="5"/>
      <c r="X81" s="5"/>
      <c r="Y81" s="5"/>
      <c r="Z81" s="5"/>
    </row>
    <row r="82" spans="1:26" ht="16.5" x14ac:dyDescent="0.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6.5" x14ac:dyDescent="0.25">
      <c r="A83" s="6"/>
      <c r="B83" s="5"/>
      <c r="C83" s="5"/>
      <c r="D83" s="5"/>
      <c r="E83" s="5"/>
      <c r="F83" s="5"/>
      <c r="G83" s="5"/>
      <c r="H83" s="5"/>
      <c r="I83" s="5"/>
      <c r="J83" s="5"/>
      <c r="K83" s="5"/>
      <c r="L83" s="5"/>
      <c r="M83" s="5"/>
      <c r="N83" s="5"/>
      <c r="O83" s="5"/>
      <c r="P83" s="5"/>
      <c r="Q83" s="5"/>
      <c r="R83" s="5"/>
      <c r="S83" s="5"/>
      <c r="T83" s="5"/>
      <c r="U83" s="5"/>
      <c r="V83" s="5"/>
      <c r="W83" s="5"/>
      <c r="X83" s="5"/>
      <c r="Y83" s="5"/>
      <c r="Z83" s="5"/>
    </row>
    <row r="84" spans="1:26" ht="16.5" x14ac:dyDescent="0.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6.5" x14ac:dyDescent="0.25">
      <c r="A85" s="6"/>
      <c r="B85" s="5"/>
      <c r="C85" s="5"/>
      <c r="D85" s="5"/>
      <c r="E85" s="5"/>
      <c r="F85" s="5"/>
      <c r="G85" s="5"/>
      <c r="H85" s="5"/>
      <c r="I85" s="5"/>
      <c r="J85" s="5"/>
      <c r="K85" s="5"/>
      <c r="L85" s="5"/>
      <c r="M85" s="5"/>
      <c r="N85" s="5"/>
      <c r="O85" s="5"/>
      <c r="P85" s="5"/>
      <c r="Q85" s="5"/>
      <c r="R85" s="5"/>
      <c r="S85" s="5"/>
      <c r="T85" s="5"/>
      <c r="U85" s="5"/>
      <c r="V85" s="5"/>
      <c r="W85" s="5"/>
      <c r="X85" s="5"/>
      <c r="Y85" s="5"/>
      <c r="Z85" s="5"/>
    </row>
    <row r="86" spans="1:26" ht="16.5" x14ac:dyDescent="0.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6.5" x14ac:dyDescent="0.25">
      <c r="A87" s="6"/>
      <c r="B87" s="5"/>
      <c r="C87" s="5"/>
      <c r="D87" s="5"/>
      <c r="E87" s="5"/>
      <c r="F87" s="5"/>
      <c r="G87" s="5"/>
      <c r="H87" s="5"/>
      <c r="I87" s="5"/>
      <c r="J87" s="5"/>
      <c r="K87" s="5"/>
      <c r="L87" s="5"/>
      <c r="M87" s="5"/>
      <c r="N87" s="5"/>
      <c r="O87" s="5"/>
      <c r="P87" s="5"/>
      <c r="Q87" s="5"/>
      <c r="R87" s="5"/>
      <c r="S87" s="5"/>
      <c r="T87" s="5"/>
      <c r="U87" s="5"/>
      <c r="V87" s="5"/>
      <c r="W87" s="5"/>
      <c r="X87" s="5"/>
      <c r="Y87" s="5"/>
      <c r="Z87" s="5"/>
    </row>
    <row r="88" spans="1:26" ht="16.5" x14ac:dyDescent="0.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6.5" x14ac:dyDescent="0.25">
      <c r="A89" s="6"/>
      <c r="B89" s="5"/>
      <c r="C89" s="5"/>
      <c r="D89" s="5"/>
      <c r="E89" s="5"/>
      <c r="F89" s="5"/>
      <c r="G89" s="5"/>
      <c r="H89" s="5"/>
      <c r="I89" s="5"/>
      <c r="J89" s="5"/>
      <c r="K89" s="5"/>
      <c r="L89" s="5"/>
      <c r="M89" s="5"/>
      <c r="N89" s="5"/>
      <c r="O89" s="5"/>
      <c r="P89" s="5"/>
      <c r="Q89" s="5"/>
      <c r="R89" s="5"/>
      <c r="S89" s="5"/>
      <c r="T89" s="5"/>
      <c r="U89" s="5"/>
      <c r="V89" s="5"/>
      <c r="W89" s="5"/>
      <c r="X89" s="5"/>
      <c r="Y89" s="5"/>
      <c r="Z89" s="5"/>
    </row>
    <row r="90" spans="1:26" ht="16.5" x14ac:dyDescent="0.25">
      <c r="A90" s="4"/>
      <c r="B90" s="5"/>
      <c r="C90" s="5"/>
      <c r="D90" s="5"/>
      <c r="E90" s="5"/>
      <c r="F90" s="5"/>
      <c r="G90" s="5"/>
      <c r="H90" s="5"/>
      <c r="I90" s="5"/>
      <c r="J90" s="5"/>
      <c r="K90" s="5"/>
      <c r="L90" s="5"/>
      <c r="M90" s="5"/>
      <c r="N90" s="5"/>
      <c r="O90" s="5"/>
      <c r="P90" s="5"/>
      <c r="Q90" s="5"/>
      <c r="R90" s="5"/>
      <c r="S90" s="5"/>
      <c r="T90" s="5"/>
      <c r="U90" s="5"/>
      <c r="V90" s="5"/>
      <c r="W90" s="5"/>
      <c r="X90" s="5"/>
      <c r="Y90" s="5"/>
      <c r="Z90" s="5"/>
    </row>
    <row r="91" spans="1:26" ht="16.5" x14ac:dyDescent="0.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6.5" x14ac:dyDescent="0.25">
      <c r="A92" s="6"/>
      <c r="B92" s="5"/>
      <c r="C92" s="5"/>
      <c r="D92" s="5"/>
      <c r="E92" s="5"/>
      <c r="F92" s="5"/>
      <c r="G92" s="5"/>
      <c r="H92" s="5"/>
      <c r="I92" s="5"/>
      <c r="J92" s="5"/>
      <c r="K92" s="5"/>
      <c r="L92" s="5"/>
      <c r="M92" s="5"/>
      <c r="N92" s="5"/>
      <c r="O92" s="5"/>
      <c r="P92" s="5"/>
      <c r="Q92" s="5"/>
      <c r="R92" s="5"/>
      <c r="S92" s="5"/>
      <c r="T92" s="5"/>
      <c r="U92" s="5"/>
      <c r="V92" s="5"/>
      <c r="W92" s="5"/>
      <c r="X92" s="5"/>
      <c r="Y92" s="5"/>
      <c r="Z92" s="5"/>
    </row>
    <row r="93" spans="1:26" ht="16.5" x14ac:dyDescent="0.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6.5" x14ac:dyDescent="0.25">
      <c r="A94" s="6"/>
      <c r="B94" s="5"/>
      <c r="C94" s="5"/>
      <c r="D94" s="5"/>
      <c r="E94" s="5"/>
      <c r="F94" s="5"/>
      <c r="G94" s="5"/>
      <c r="H94" s="5"/>
      <c r="I94" s="5"/>
      <c r="J94" s="5"/>
      <c r="K94" s="5"/>
      <c r="L94" s="5"/>
      <c r="M94" s="5"/>
      <c r="N94" s="5"/>
      <c r="O94" s="5"/>
      <c r="P94" s="5"/>
      <c r="Q94" s="5"/>
      <c r="R94" s="5"/>
      <c r="S94" s="5"/>
      <c r="T94" s="5"/>
      <c r="U94" s="5"/>
      <c r="V94" s="5"/>
      <c r="W94" s="5"/>
      <c r="X94" s="5"/>
      <c r="Y94" s="5"/>
      <c r="Z94" s="5"/>
    </row>
    <row r="95" spans="1:26" ht="16.5" x14ac:dyDescent="0.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6.5" x14ac:dyDescent="0.25">
      <c r="A96" s="7"/>
      <c r="B96" s="5"/>
      <c r="C96" s="5"/>
      <c r="D96" s="5"/>
      <c r="E96" s="5"/>
      <c r="F96" s="5"/>
      <c r="G96" s="5"/>
      <c r="H96" s="5"/>
      <c r="I96" s="5"/>
      <c r="J96" s="5"/>
      <c r="K96" s="5"/>
      <c r="L96" s="5"/>
      <c r="M96" s="5"/>
      <c r="N96" s="5"/>
      <c r="O96" s="5"/>
      <c r="P96" s="5"/>
      <c r="Q96" s="5"/>
      <c r="R96" s="5"/>
      <c r="S96" s="5"/>
      <c r="T96" s="5"/>
      <c r="U96" s="5"/>
      <c r="V96" s="5"/>
      <c r="W96" s="5"/>
      <c r="X96" s="5"/>
      <c r="Y96" s="5"/>
      <c r="Z96" s="5"/>
    </row>
    <row r="97" spans="1:26" ht="16.5" x14ac:dyDescent="0.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6.5" x14ac:dyDescent="0.25">
      <c r="A98" s="8"/>
      <c r="B98" s="5"/>
      <c r="C98" s="5"/>
      <c r="D98" s="5"/>
      <c r="E98" s="5"/>
      <c r="F98" s="5"/>
      <c r="G98" s="5"/>
      <c r="H98" s="5"/>
      <c r="I98" s="5"/>
      <c r="J98" s="5"/>
      <c r="K98" s="5"/>
      <c r="L98" s="5"/>
      <c r="M98" s="5"/>
      <c r="N98" s="5"/>
      <c r="O98" s="5"/>
      <c r="P98" s="5"/>
      <c r="Q98" s="5"/>
      <c r="R98" s="5"/>
      <c r="S98" s="5"/>
      <c r="T98" s="5"/>
      <c r="U98" s="5"/>
      <c r="V98" s="5"/>
      <c r="W98" s="5"/>
      <c r="X98" s="5"/>
      <c r="Y98" s="5"/>
      <c r="Z98" s="5"/>
    </row>
    <row r="99" spans="1:26" ht="16.5" x14ac:dyDescent="0.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6.5" x14ac:dyDescent="0.25">
      <c r="A100" s="6"/>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6.5"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6.5" x14ac:dyDescent="0.25">
      <c r="A102" s="6"/>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6.5"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6.5" x14ac:dyDescent="0.25">
      <c r="A104" s="6"/>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6.5"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6.5" x14ac:dyDescent="0.25">
      <c r="A106" s="6"/>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6.5" x14ac:dyDescent="0.25">
      <c r="A107" s="4"/>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6.5" x14ac:dyDescent="0.25">
      <c r="A108" s="4"/>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6.5"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6.5" x14ac:dyDescent="0.25">
      <c r="A110" s="6"/>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6.5"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6.5" x14ac:dyDescent="0.25">
      <c r="A112" s="6"/>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6.5"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6.5" x14ac:dyDescent="0.25">
      <c r="A114" s="7"/>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6.5"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6.5" x14ac:dyDescent="0.25">
      <c r="A116" s="7"/>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6.5"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6.5" x14ac:dyDescent="0.25">
      <c r="A118" s="6"/>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6.5"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6.5" x14ac:dyDescent="0.25">
      <c r="A120" s="6"/>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6.5"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6.5" x14ac:dyDescent="0.25">
      <c r="A122" s="6"/>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6.5"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6.5" x14ac:dyDescent="0.25">
      <c r="A124" s="6"/>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6.5" x14ac:dyDescent="0.25">
      <c r="A125" s="4"/>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6.5"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6.5" x14ac:dyDescent="0.25">
      <c r="A127" s="6"/>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6.5"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6.5" x14ac:dyDescent="0.25">
      <c r="A129" s="6"/>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6.5"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6.5" x14ac:dyDescent="0.25">
      <c r="A131" s="7"/>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6.5"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6.5" x14ac:dyDescent="0.25">
      <c r="A133" s="7"/>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6.5"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6.5" x14ac:dyDescent="0.25">
      <c r="A135" s="6"/>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6.5"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6.5" x14ac:dyDescent="0.25">
      <c r="A137" s="6"/>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6.5"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6.5" x14ac:dyDescent="0.25">
      <c r="A139" s="6"/>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6.5"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6.5" x14ac:dyDescent="0.25">
      <c r="A141" s="6"/>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6.5" x14ac:dyDescent="0.25">
      <c r="A142" s="4"/>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6.5"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6.5" x14ac:dyDescent="0.25">
      <c r="A144" s="6"/>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6.5"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6.5" x14ac:dyDescent="0.25">
      <c r="A146" s="6"/>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6.5"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6.5" x14ac:dyDescent="0.25">
      <c r="A148" s="7"/>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6.5"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6.5" x14ac:dyDescent="0.25">
      <c r="A150" s="8"/>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6.5"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6.5" x14ac:dyDescent="0.25">
      <c r="A152" s="6"/>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6.5"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6.5" x14ac:dyDescent="0.25">
      <c r="A154" s="6"/>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6.5"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6.5" x14ac:dyDescent="0.25">
      <c r="A156" s="6"/>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6.5"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6.5" x14ac:dyDescent="0.25">
      <c r="A158" s="6"/>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6.5" x14ac:dyDescent="0.25">
      <c r="A159" s="4"/>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6.5" x14ac:dyDescent="0.25">
      <c r="A160" s="4"/>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6.5"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6.5" x14ac:dyDescent="0.25">
      <c r="A162" s="6"/>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6.5"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6.5" x14ac:dyDescent="0.25">
      <c r="A164" s="6"/>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6.5"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6.5" x14ac:dyDescent="0.25">
      <c r="A166" s="7"/>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6.5"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6.5" x14ac:dyDescent="0.25">
      <c r="A168" s="7"/>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6.5"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6.5" x14ac:dyDescent="0.25">
      <c r="A170" s="6"/>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6.5"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6.5" x14ac:dyDescent="0.25">
      <c r="A172" s="6"/>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6.5"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6.5" x14ac:dyDescent="0.25">
      <c r="A174" s="6"/>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6.5"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6.5" x14ac:dyDescent="0.25">
      <c r="A176" s="6"/>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6.5" x14ac:dyDescent="0.25">
      <c r="A177" s="4"/>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6.5"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6.5" x14ac:dyDescent="0.25">
      <c r="A179" s="6"/>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6.5"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6.5" x14ac:dyDescent="0.25">
      <c r="A181" s="6"/>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6.5"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6.5" x14ac:dyDescent="0.25">
      <c r="A183" s="7"/>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6.5"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6.5" x14ac:dyDescent="0.25">
      <c r="A185" s="8"/>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6.5"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6.5" x14ac:dyDescent="0.25">
      <c r="A187" s="6"/>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6.5"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6.5" x14ac:dyDescent="0.25">
      <c r="A189" s="6"/>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6.5"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6.5" x14ac:dyDescent="0.25">
      <c r="A191" s="6"/>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6.5"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6.5" x14ac:dyDescent="0.25">
      <c r="A193" s="6"/>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6.5" x14ac:dyDescent="0.25">
      <c r="A194" s="4"/>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6.5"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6.5" x14ac:dyDescent="0.25">
      <c r="A196" s="6"/>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6.5"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6.5" x14ac:dyDescent="0.25">
      <c r="A198" s="6"/>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6.5"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6.5" x14ac:dyDescent="0.25">
      <c r="A200" s="7"/>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6.5"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6.5" x14ac:dyDescent="0.25">
      <c r="A202" s="7"/>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6.5"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6.5" x14ac:dyDescent="0.25">
      <c r="A204" s="6"/>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6.5"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6.5" x14ac:dyDescent="0.25">
      <c r="A206" s="6"/>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6.5"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6.5" x14ac:dyDescent="0.25">
      <c r="A208" s="6"/>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6.5"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6.5" x14ac:dyDescent="0.25">
      <c r="A210" s="6"/>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6.5" x14ac:dyDescent="0.25">
      <c r="A211" s="4"/>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6.5"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6.5" x14ac:dyDescent="0.25">
      <c r="A213" s="6"/>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6.5" x14ac:dyDescent="0.25">
      <c r="A214" s="4"/>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6.5"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6.5" x14ac:dyDescent="0.25">
      <c r="A216" s="6"/>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6.5"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6.5" x14ac:dyDescent="0.25">
      <c r="A218" s="6"/>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6.5"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6.5" x14ac:dyDescent="0.25">
      <c r="A220" s="7"/>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6.5"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6.5" x14ac:dyDescent="0.25">
      <c r="A222" s="8"/>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6.5"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6.5" x14ac:dyDescent="0.25">
      <c r="A224" s="6"/>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6.5"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6.5" x14ac:dyDescent="0.25">
      <c r="A226" s="6"/>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6.5"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6.5" x14ac:dyDescent="0.25">
      <c r="A228" s="6"/>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6.5"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6.5" x14ac:dyDescent="0.25">
      <c r="A230" s="6"/>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6.5"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6.5" x14ac:dyDescent="0.25">
      <c r="A232" s="6"/>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6.5"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6.5" x14ac:dyDescent="0.25">
      <c r="A234" s="6"/>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6.5"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6.5" x14ac:dyDescent="0.25">
      <c r="A236" s="6"/>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6.5"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6.5" x14ac:dyDescent="0.25">
      <c r="A238" s="6"/>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6.5"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6.5" x14ac:dyDescent="0.25">
      <c r="A240" s="6"/>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6.5"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6.5" x14ac:dyDescent="0.25">
      <c r="A242" s="6"/>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6.5"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6.5" x14ac:dyDescent="0.25">
      <c r="A244" s="6"/>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6.5"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6.5" x14ac:dyDescent="0.25">
      <c r="A246" s="6"/>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6.5"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6.5" x14ac:dyDescent="0.25">
      <c r="A248" s="6"/>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6.5" x14ac:dyDescent="0.25">
      <c r="A249" s="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6.5"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6.5" x14ac:dyDescent="0.25">
      <c r="A251" s="6"/>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6.5"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6.5" x14ac:dyDescent="0.25">
      <c r="A253" s="6"/>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6.5"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6.5" x14ac:dyDescent="0.25">
      <c r="A255" s="8"/>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6.5"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6.5" x14ac:dyDescent="0.25">
      <c r="A257" s="8"/>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6.5"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6.5" x14ac:dyDescent="0.25">
      <c r="A259" s="6"/>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6.5"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6.5" x14ac:dyDescent="0.25">
      <c r="A261" s="6"/>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6.5"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6.5" x14ac:dyDescent="0.25">
      <c r="A263" s="6"/>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6.5"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6.5" x14ac:dyDescent="0.25">
      <c r="A265" s="6"/>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6.5"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6.5" x14ac:dyDescent="0.25">
      <c r="A267" s="6"/>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6.5"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6.5" x14ac:dyDescent="0.25">
      <c r="A269" s="6"/>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6.5"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6.5" x14ac:dyDescent="0.25">
      <c r="A271" s="6"/>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6.5"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6.5" x14ac:dyDescent="0.25">
      <c r="A273" s="6"/>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6.5"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6.5" x14ac:dyDescent="0.25">
      <c r="A275" s="6"/>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6.5"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6.5" x14ac:dyDescent="0.25">
      <c r="A277" s="6"/>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6.5" x14ac:dyDescent="0.25">
      <c r="A278" s="4"/>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6.5"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6.5" x14ac:dyDescent="0.25">
      <c r="A280" s="6"/>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6.5"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6.5" x14ac:dyDescent="0.25">
      <c r="A282" s="6"/>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6.5"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6.5" x14ac:dyDescent="0.25">
      <c r="A284" s="7"/>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6.5"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6.5" x14ac:dyDescent="0.25">
      <c r="A286" s="8"/>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6.5"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6.5" x14ac:dyDescent="0.25">
      <c r="A288" s="6"/>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6.5"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6.5" x14ac:dyDescent="0.25">
      <c r="A290" s="6"/>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6.5"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6.5" x14ac:dyDescent="0.25">
      <c r="A292" s="6"/>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6.5"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6.5" x14ac:dyDescent="0.25">
      <c r="A294" s="6"/>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6.5"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6.5" x14ac:dyDescent="0.25">
      <c r="A296" s="6"/>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6.5" x14ac:dyDescent="0.25">
      <c r="A297" s="4"/>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6.5" x14ac:dyDescent="0.25">
      <c r="A298" s="6"/>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6.5"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6.5" x14ac:dyDescent="0.25">
      <c r="A300" s="6"/>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6.5" x14ac:dyDescent="0.25">
      <c r="A301" s="6"/>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6.5"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6.5" x14ac:dyDescent="0.25">
      <c r="A303" s="6"/>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6.5"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6.5" x14ac:dyDescent="0.25">
      <c r="A305" s="6"/>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6.5" x14ac:dyDescent="0.25">
      <c r="A306" s="6"/>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6.5"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6.5" x14ac:dyDescent="0.25">
      <c r="A308" s="6"/>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6.5"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6.5" x14ac:dyDescent="0.25">
      <c r="A310" s="6"/>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6.5" x14ac:dyDescent="0.25">
      <c r="A311" s="6"/>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6.5"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6.5" x14ac:dyDescent="0.25">
      <c r="A313" s="6"/>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6.5"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6.5" x14ac:dyDescent="0.25">
      <c r="A315" s="6"/>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6.5" x14ac:dyDescent="0.25">
      <c r="A316" s="6"/>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6.5"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6.5" x14ac:dyDescent="0.25">
      <c r="A318" s="6"/>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6.5"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6.5" x14ac:dyDescent="0.25">
      <c r="A320" s="6"/>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6.5" x14ac:dyDescent="0.25">
      <c r="A321" s="6"/>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sheetData>
  <mergeCells count="4">
    <mergeCell ref="A2:L2"/>
    <mergeCell ref="A4:L4"/>
    <mergeCell ref="A19:L19"/>
    <mergeCell ref="A33:L33"/>
  </mergeCells>
  <hyperlinks>
    <hyperlink ref="L22" r:id="rId1" xr:uid="{AC00C322-6181-4903-8E14-01E9D3F08DEE}"/>
    <hyperlink ref="L24" r:id="rId2" xr:uid="{5BFC4C55-3925-42C8-9EEF-8170C723BB4E}"/>
    <hyperlink ref="L25" r:id="rId3" xr:uid="{10B58914-B730-4817-B338-17F3F8D72C6D}"/>
    <hyperlink ref="L26" r:id="rId4" xr:uid="{1DB0ED17-952E-493B-A61C-0CD0675A80A4}"/>
    <hyperlink ref="L27" r:id="rId5" xr:uid="{0DFE4094-3352-4C2A-A483-8901CCB8517E}"/>
    <hyperlink ref="L28" r:id="rId6" xr:uid="{94A24144-D6B2-4EB1-BDB5-09FD1A4456A1}"/>
    <hyperlink ref="L29" r:id="rId7" xr:uid="{5DFCB7EE-84D8-4C77-9DEA-7563B96A710C}"/>
    <hyperlink ref="L39" r:id="rId8" xr:uid="{00058266-0891-4BEC-BCC0-6A133349D3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23</vt:i4>
      </vt:variant>
    </vt:vector>
  </HeadingPairs>
  <TitlesOfParts>
    <vt:vector size="23" baseType="lpstr">
      <vt:lpstr>Portada</vt:lpstr>
      <vt:lpstr>Torre admin</vt:lpstr>
      <vt:lpstr>Monitor Admin</vt:lpstr>
      <vt:lpstr>DiscoSolido Admin</vt:lpstr>
      <vt:lpstr>Disco duro interno Admin</vt:lpstr>
      <vt:lpstr>Servidor Admin</vt:lpstr>
      <vt:lpstr>RAM Admin</vt:lpstr>
      <vt:lpstr>Portatil Nosotros</vt:lpstr>
      <vt:lpstr>Teclado Admin</vt:lpstr>
      <vt:lpstr>Mouse Admin</vt:lpstr>
      <vt:lpstr>Monitor Nosotros</vt:lpstr>
      <vt:lpstr> Disco mecanico Nosotros</vt:lpstr>
      <vt:lpstr> Servidor Nosotros</vt:lpstr>
      <vt:lpstr> ram nosotros</vt:lpstr>
      <vt:lpstr>Tarjeta de video nosotros</vt:lpstr>
      <vt:lpstr>Procesador Nosotros</vt:lpstr>
      <vt:lpstr>Teclado nosostros </vt:lpstr>
      <vt:lpstr>Mouse Nosotros</vt:lpstr>
      <vt:lpstr>Software Licencia</vt:lpstr>
      <vt:lpstr>Licencia Visual</vt:lpstr>
      <vt:lpstr>Windows 11 Licencia</vt:lpstr>
      <vt:lpstr>Licencia SQL</vt:lpstr>
      <vt:lpstr>Consolidado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Luis Fernando Chaves Mejia</cp:lastModifiedBy>
  <dcterms:created xsi:type="dcterms:W3CDTF">2010-11-08T17:12:41Z</dcterms:created>
  <dcterms:modified xsi:type="dcterms:W3CDTF">2026-03-16T21:20:22Z</dcterms:modified>
</cp:coreProperties>
</file>